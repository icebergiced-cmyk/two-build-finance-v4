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lip-Log" sheetId="2" state="visible" r:id="rId2"/>
    <sheet xmlns:r="http://schemas.openxmlformats.org/officeDocument/2006/relationships" name="Expense-Summary" sheetId="3" state="visible" r:id="rId3"/>
    <sheet xmlns:r="http://schemas.openxmlformats.org/officeDocument/2006/relationships" name="Cash-Book" sheetId="4" state="visible" r:id="rId4"/>
    <sheet xmlns:r="http://schemas.openxmlformats.org/officeDocument/2006/relationships" name="Vendor-Invoice" sheetId="5" state="visible" r:id="rId5"/>
    <sheet xmlns:r="http://schemas.openxmlformats.org/officeDocument/2006/relationships" name="PO-Tracker" sheetId="6" state="visible" r:id="rId6"/>
    <sheet xmlns:r="http://schemas.openxmlformats.org/officeDocument/2006/relationships" name="Vendor-Billing-Packets" sheetId="7" state="visible" r:id="rId7"/>
    <sheet xmlns:r="http://schemas.openxmlformats.org/officeDocument/2006/relationships" name="Cheque-Schedule" sheetId="8" state="visible" r:id="rId8"/>
    <sheet xmlns:r="http://schemas.openxmlformats.org/officeDocument/2006/relationships" name="Discrepancy-Log" sheetId="9" state="visible" r:id="rId9"/>
    <sheet xmlns:r="http://schemas.openxmlformats.org/officeDocument/2006/relationships" name="Journal-2569" sheetId="10" state="visible" r:id="rId10"/>
    <sheet xmlns:r="http://schemas.openxmlformats.org/officeDocument/2006/relationships" name="COA" sheetId="11" state="visible" r:id="rId11"/>
    <sheet xmlns:r="http://schemas.openxmlformats.org/officeDocument/2006/relationships" name="Sales-Pipeline" sheetId="12" state="visible" r:id="rId12"/>
    <sheet xmlns:r="http://schemas.openxmlformats.org/officeDocument/2006/relationships" name="Tax-Tracker" sheetId="13" state="visible" r:id="rId13"/>
    <sheet xmlns:r="http://schemas.openxmlformats.org/officeDocument/2006/relationships" name="Feasibility-Save" sheetId="14" state="visible" r:id="rId14"/>
    <sheet xmlns:r="http://schemas.openxmlformats.org/officeDocument/2006/relationships" name="Payroll-2569" sheetId="15" state="visible" r:id="rId15"/>
    <sheet xmlns:r="http://schemas.openxmlformats.org/officeDocument/2006/relationships" name="Contractor-Mast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฿#,##0.00;[Red](฿#,##0.00);&quot;-&quot;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F172A"/>
      <sz val="20"/>
    </font>
    <font>
      <name val="Arial"/>
      <color rgb="0057534E"/>
      <sz val="11"/>
    </font>
    <font>
      <name val="Arial"/>
      <i val="1"/>
      <color rgb="0078716C"/>
      <sz val="9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color rgb="0044403C"/>
      <sz val="10"/>
    </font>
    <font>
      <name val="Arial"/>
      <color rgb="00000000"/>
      <sz val="10"/>
    </font>
    <font>
      <name val="Arial"/>
      <b val="1"/>
      <color rgb="000F172A"/>
      <sz val="18"/>
    </font>
    <font>
      <name val="Arial"/>
      <i val="1"/>
      <color rgb="0057534E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horizontal="center" vertical="center"/>
    </xf>
    <xf numFmtId="164" fontId="6" fillId="0" borderId="1" pivotButton="0" quotePrefix="0" xfId="0"/>
    <xf numFmtId="164" fontId="0" fillId="0" borderId="0" pivotButton="0" quotePrefix="0" xfId="0"/>
    <xf numFmtId="164" fontId="9" fillId="0" borderId="0" pivotButton="0" quotePrefix="0" xfId="0"/>
    <xf numFmtId="165" fontId="6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0" customWidth="1" min="4" max="4"/>
  </cols>
  <sheetData>
    <row r="1">
      <c r="A1" s="1" t="inlineStr">
        <is>
          <t>Finance-Master-2569</t>
        </is>
      </c>
    </row>
    <row r="2">
      <c r="A2" s="2" t="inlineStr">
        <is>
          <t>ฐานข้อมูลกลาง Two Build Finance V4 · Standalone Mode (ไม่เชื่อม Ecount)</t>
        </is>
      </c>
    </row>
    <row r="3">
      <c r="A3" s="3" t="inlineStr">
        <is>
          <t>สร้างเมื่อ: 2026-05-26 · เจ้าของ: บจก. ทู บิลด์ ดีเวลลอปเมนท์</t>
        </is>
      </c>
    </row>
    <row r="5">
      <c r="A5" s="4" t="inlineStr">
        <is>
          <t>📋 รายการ Tab ทั้งหมด (11)</t>
        </is>
      </c>
    </row>
    <row r="7">
      <c r="A7" s="5" t="inlineStr">
        <is>
          <t>No.</t>
        </is>
      </c>
      <c r="B7" s="5" t="inlineStr">
        <is>
          <t>Tab Name</t>
        </is>
      </c>
      <c r="C7" s="5" t="inlineStr">
        <is>
          <t>ใช้กับ</t>
        </is>
      </c>
      <c r="D7" s="5" t="inlineStr">
        <is>
          <t>หมายเหตุ</t>
        </is>
      </c>
    </row>
    <row r="8">
      <c r="A8" s="6" t="inlineStr">
        <is>
          <t>01</t>
        </is>
      </c>
      <c r="B8" s="6" t="inlineStr">
        <is>
          <t>Slip-Log</t>
        </is>
      </c>
      <c r="C8" s="6" t="inlineStr">
        <is>
          <t>Module 01 · สลิป OCR + memo อัตโนมัติ</t>
        </is>
      </c>
      <c r="D8" s="6" t="inlineStr">
        <is>
          <t>Drive จัดโฟลเดอร์ /Slips/2569/MM/</t>
        </is>
      </c>
    </row>
    <row r="9">
      <c r="A9" s="6" t="inlineStr">
        <is>
          <t>02</t>
        </is>
      </c>
      <c r="B9" s="6" t="inlineStr">
        <is>
          <t>Cash-Book</t>
        </is>
      </c>
      <c r="C9" s="6" t="inlineStr">
        <is>
          <t>Module 02 · สมุดเงินสด + running balance</t>
        </is>
      </c>
      <c r="D9" s="6" t="inlineStr">
        <is>
          <t>P&amp;L mini · breakdown หมวด</t>
        </is>
      </c>
    </row>
    <row r="10">
      <c r="A10" s="6" t="inlineStr">
        <is>
          <t>03</t>
        </is>
      </c>
      <c r="B10" s="6" t="inlineStr">
        <is>
          <t>Vendor-Invoice</t>
        </is>
      </c>
      <c r="C10" s="6" t="inlineStr">
        <is>
          <t>Module 03 · บิล vendor + due date</t>
        </is>
      </c>
      <c r="D10" s="6" t="inlineStr">
        <is>
          <t>ตารางชำระตาม credit term</t>
        </is>
      </c>
    </row>
    <row r="11">
      <c r="A11" s="6" t="inlineStr">
        <is>
          <t>04</t>
        </is>
      </c>
      <c r="B11" s="6" t="inlineStr">
        <is>
          <t>PO-Tracker</t>
        </is>
      </c>
      <c r="C11" s="6" t="inlineStr">
        <is>
          <t>Module 03+09 · PO ทุกใบ</t>
        </is>
      </c>
      <c r="D11" s="6" t="inlineStr">
        <is>
          <t>open/partial/closed status</t>
        </is>
      </c>
    </row>
    <row r="12">
      <c r="A12" s="6" t="inlineStr">
        <is>
          <t>05</t>
        </is>
      </c>
      <c r="B12" s="6" t="inlineStr">
        <is>
          <t>Journal-2569</t>
        </is>
      </c>
      <c r="C12" s="6" t="inlineStr">
        <is>
          <t>Module 04 · GL entries</t>
        </is>
      </c>
      <c r="D12" s="6" t="inlineStr">
        <is>
          <t>Double-entry · ref COA</t>
        </is>
      </c>
    </row>
    <row r="13">
      <c r="A13" s="6" t="inlineStr">
        <is>
          <t>06</t>
        </is>
      </c>
      <c r="B13" s="6" t="inlineStr">
        <is>
          <t>COA</t>
        </is>
      </c>
      <c r="C13" s="6" t="inlineStr">
        <is>
          <t>Module 04 · Chart of Accounts 42 บัญชี</t>
        </is>
      </c>
      <c r="D13" s="6" t="inlineStr">
        <is>
          <t>Asset/Liab/Equity/Revenue/Expense</t>
        </is>
      </c>
    </row>
    <row r="14">
      <c r="A14" s="6" t="inlineStr">
        <is>
          <t>07</t>
        </is>
      </c>
      <c r="B14" s="6" t="inlineStr">
        <is>
          <t>Sales-Pipeline</t>
        </is>
      </c>
      <c r="C14" s="6" t="inlineStr">
        <is>
          <t>Module 05 · รายได้ขายบ้าน + ภาษีอสังหาฯ</t>
        </is>
      </c>
      <c r="D14" s="6" t="inlineStr">
        <is>
          <t>SBT 3.3% · ค่าโอน 2% · จดจำนอง 1%</t>
        </is>
      </c>
    </row>
    <row r="15">
      <c r="A15" s="6" t="inlineStr">
        <is>
          <t>08</t>
        </is>
      </c>
      <c r="B15" s="6" t="inlineStr">
        <is>
          <t>Tax-Tracker</t>
        </is>
      </c>
      <c r="C15" s="6" t="inlineStr">
        <is>
          <t>Module 05 · ปฏิทินยื่นภาษี</t>
        </is>
      </c>
      <c r="D15" s="6" t="inlineStr">
        <is>
          <t>ภงด.1/3/53/ภพ.30/ภงด.50/51</t>
        </is>
      </c>
    </row>
    <row r="16">
      <c r="A16" s="6" t="inlineStr">
        <is>
          <t>09</t>
        </is>
      </c>
      <c r="B16" s="6" t="inlineStr">
        <is>
          <t>Feasibility-Save</t>
        </is>
      </c>
      <c r="C16" s="6" t="inlineStr">
        <is>
          <t>Module 07 · บันทึก analysis</t>
        </is>
      </c>
      <c r="D16" s="6" t="inlineStr">
        <is>
          <t>IRR · NPV · Payback · Scenario</t>
        </is>
      </c>
    </row>
    <row r="17">
      <c r="A17" s="6" t="inlineStr">
        <is>
          <t>10</t>
        </is>
      </c>
      <c r="B17" s="6" t="inlineStr">
        <is>
          <t>Payroll-2569</t>
        </is>
      </c>
      <c r="C17" s="6" t="inlineStr">
        <is>
          <t>Module 08 · เงินเดือน 24 คน</t>
        </is>
      </c>
      <c r="D17" s="6" t="inlineStr">
        <is>
          <t>OT · SSO 5% · ภงด.1 · slip PDF</t>
        </is>
      </c>
    </row>
    <row r="18">
      <c r="A18" s="6" t="inlineStr">
        <is>
          <t>11</t>
        </is>
      </c>
      <c r="B18" s="6" t="inlineStr">
        <is>
          <t>Contractor-Master</t>
        </is>
      </c>
      <c r="C18" s="6" t="inlineStr">
        <is>
          <t>Module 09 · ผู้รับเหมา master</t>
        </is>
      </c>
      <c r="D18" s="6" t="inlineStr">
        <is>
          <t>หักประกัน 5% · WHT 3%</t>
        </is>
      </c>
    </row>
    <row r="20">
      <c r="A20" s="7" t="inlineStr">
        <is>
          <t>📁 Drive Folder Structure (ต้องสร้างคู่กัน):</t>
        </is>
      </c>
      <c r="B20" s="8" t="n"/>
    </row>
    <row r="21">
      <c r="A21" s="7" t="inlineStr"/>
      <c r="B21" s="8" t="inlineStr">
        <is>
          <t>/Two Build/Finance/Slips/2569/01..12/    ← Module 01 อัปสลิป</t>
        </is>
      </c>
    </row>
    <row r="22">
      <c r="A22" s="7" t="inlineStr"/>
      <c r="B22" s="8" t="inlineStr">
        <is>
          <t>/Two Build/Finance/Invoices/             ← Module 03 บิล vendor</t>
        </is>
      </c>
    </row>
    <row r="23">
      <c r="A23" s="7" t="inlineStr"/>
      <c r="B23" s="8" t="inlineStr">
        <is>
          <t>/Two Build/Finance/Payroll-Slips/2569/   ← Module 08 slip เงินเดือน</t>
        </is>
      </c>
    </row>
    <row r="24">
      <c r="A24" s="7" t="inlineStr"/>
      <c r="B24" s="8" t="inlineStr">
        <is>
          <t>/Two Build/Finance/Reports/              ← Module 06 export PDF</t>
        </is>
      </c>
    </row>
    <row r="26">
      <c r="A26" s="7" t="inlineStr">
        <is>
          <t>⚙️ Conventions</t>
        </is>
      </c>
    </row>
    <row r="27">
      <c r="A27" s="8" t="inlineStr">
        <is>
          <t xml:space="preserve">  • วันที่ใช้ ค.ศ. (yyyy-mm-dd) ทุก field — Module 06 จะแปลงเป็น พ.ศ. ตอน export</t>
        </is>
      </c>
    </row>
    <row r="28">
      <c r="A28" s="8" t="inlineStr">
        <is>
          <t xml:space="preserve">  • เงิน format ฿#,##0.00 · ติดลบใส่วงเล็บ (1,234.56)</t>
        </is>
      </c>
    </row>
    <row r="29">
      <c r="A29" s="8" t="inlineStr">
        <is>
          <t xml:space="preserve">  • Project code: OV (One Vela) · WW (วันเวลา) · OX3 (Oxygen 3) · OX4 (Oxygen 4)</t>
        </is>
      </c>
    </row>
    <row r="30">
      <c r="A30" s="8" t="inlineStr">
        <is>
          <t xml:space="preserve">  • Plot ID เป็น string เช่น 1/5, 89/12 — ห้าม Excel แปลงเป็นวันที่</t>
        </is>
      </c>
    </row>
    <row r="31">
      <c r="A31" s="8" t="inlineStr">
        <is>
          <t xml:space="preserve">  • PO No. format: PO-2569-NNNN (running เลขรวมทั้งบริษัท)</t>
        </is>
      </c>
    </row>
    <row r="32">
      <c r="A32" s="8" t="inlineStr">
        <is>
          <t xml:space="preserve">  • Voucher No. format: V-MM-NNNN (เริ่มใหม่ทุกเดือน)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14" customWidth="1" min="5" max="5"/>
    <col width="18" customWidth="1" min="6" max="6"/>
    <col width="36" customWidth="1" min="7" max="7"/>
    <col width="18" customWidth="1" min="8" max="8"/>
    <col width="10" customWidth="1" min="9" max="9"/>
    <col width="10" customWidth="1" min="10" max="10"/>
    <col width="16" customWidth="1" min="11" max="11"/>
    <col width="36" customWidth="1" min="12" max="12"/>
    <col width="12" customWidth="1" min="13" max="13"/>
    <col width="14" customWidth="1" min="14" max="14"/>
    <col width="18" customWidth="1" min="15" max="15"/>
  </cols>
  <sheetData>
    <row r="1" ht="28" customHeight="1">
      <c r="A1" s="9" t="inlineStr">
        <is>
          <t>date</t>
        </is>
      </c>
      <c r="B1" s="9" t="inlineStr">
        <is>
          <t>amount</t>
        </is>
      </c>
      <c r="C1" s="9" t="inlineStr">
        <is>
          <t>direction</t>
        </is>
      </c>
      <c r="D1" s="9" t="inlineStr">
        <is>
          <t>counterparty</t>
        </is>
      </c>
      <c r="E1" s="9" t="inlineStr">
        <is>
          <t>bank</t>
        </is>
      </c>
      <c r="F1" s="9" t="inlineStr">
        <is>
          <t>ref_no</t>
        </is>
      </c>
      <c r="G1" s="9" t="inlineStr">
        <is>
          <t>memo</t>
        </is>
      </c>
      <c r="H1" s="9" t="inlineStr">
        <is>
          <t>category</t>
        </is>
      </c>
      <c r="I1" s="9" t="inlineStr">
        <is>
          <t>project</t>
        </is>
      </c>
      <c r="J1" s="9" t="inlineStr">
        <is>
          <t>plot</t>
        </is>
      </c>
      <c r="K1" s="9" t="inlineStr">
        <is>
          <t>po_ref</t>
        </is>
      </c>
      <c r="L1" s="9" t="inlineStr">
        <is>
          <t>drive_file_url</t>
        </is>
      </c>
      <c r="M1" s="9" t="inlineStr">
        <is>
          <t>status</t>
        </is>
      </c>
      <c r="N1" s="9" t="inlineStr">
        <is>
          <t>created_by</t>
        </is>
      </c>
      <c r="O1" s="9" t="inlineStr">
        <is>
          <t>created_at</t>
        </is>
      </c>
    </row>
    <row r="2">
      <c r="A2" s="6" t="inlineStr">
        <is>
          <t>2569-05-25</t>
        </is>
      </c>
      <c r="B2" s="10" t="n">
        <v>35200</v>
      </c>
      <c r="C2" s="6" t="inlineStr">
        <is>
          <t>OUT</t>
        </is>
      </c>
      <c r="D2" s="6" t="inlineStr">
        <is>
          <t>ส.เจริญชัย</t>
        </is>
      </c>
      <c r="E2" s="6" t="inlineStr">
        <is>
          <t>SCB</t>
        </is>
      </c>
      <c r="F2" s="6" t="inlineStr">
        <is>
          <t>REF20250525001</t>
        </is>
      </c>
      <c r="G2" s="6" t="inlineStr">
        <is>
          <t>ค่าเหล็กเส้น 12 มม. แปลง 89/5</t>
        </is>
      </c>
      <c r="H2" s="6" t="inlineStr">
        <is>
          <t>วัสดุก่อสร้าง</t>
        </is>
      </c>
      <c r="I2" s="6" t="inlineStr">
        <is>
          <t>OV</t>
        </is>
      </c>
      <c r="J2" s="6" t="inlineStr">
        <is>
          <t>89/5</t>
        </is>
      </c>
      <c r="K2" s="6" t="inlineStr">
        <is>
          <t>PO-2569-0142</t>
        </is>
      </c>
      <c r="L2" s="6" t="inlineStr">
        <is>
          <t>https://drive.google.com/file/d/xxx</t>
        </is>
      </c>
      <c r="M2" s="6" t="inlineStr">
        <is>
          <t>synced</t>
        </is>
      </c>
      <c r="N2" s="6" t="inlineStr">
        <is>
          <t>Ice</t>
        </is>
      </c>
      <c r="O2" s="6" t="inlineStr">
        <is>
          <t>2569-05-25 09:15</t>
        </is>
      </c>
    </row>
    <row r="3">
      <c r="A3" s="6" t="inlineStr">
        <is>
          <t>2569-05-25</t>
        </is>
      </c>
      <c r="B3" s="10" t="n">
        <v>12500</v>
      </c>
      <c r="C3" s="6" t="inlineStr">
        <is>
          <t>OUT</t>
        </is>
      </c>
      <c r="D3" s="6" t="inlineStr">
        <is>
          <t>บ้านช้าง</t>
        </is>
      </c>
      <c r="E3" s="6" t="inlineStr">
        <is>
          <t>K+</t>
        </is>
      </c>
      <c r="F3" s="6" t="inlineStr">
        <is>
          <t>REF20250525002</t>
        </is>
      </c>
      <c r="G3" s="6" t="inlineStr">
        <is>
          <t>กระเบื้องห้องน้ำ แปลง 5/89</t>
        </is>
      </c>
      <c r="H3" s="6" t="inlineStr">
        <is>
          <t>วัสดุก่อสร้าง</t>
        </is>
      </c>
      <c r="I3" s="6" t="inlineStr">
        <is>
          <t>WW</t>
        </is>
      </c>
      <c r="J3" s="6" t="inlineStr">
        <is>
          <t>5/89</t>
        </is>
      </c>
      <c r="K3" s="6" t="inlineStr">
        <is>
          <t>PO-2569-0143</t>
        </is>
      </c>
      <c r="L3" s="6" t="inlineStr">
        <is>
          <t>https://drive.google.com/file/d/yyy</t>
        </is>
      </c>
      <c r="M3" s="6" t="inlineStr">
        <is>
          <t>synced</t>
        </is>
      </c>
      <c r="N3" s="6" t="inlineStr">
        <is>
          <t>Ice</t>
        </is>
      </c>
      <c r="O3" s="6" t="inlineStr">
        <is>
          <t>2569-05-25 10:42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4" t="inlineStr">
        <is>
          <t>📊 สรุปวิเคราะห์ค่าใช้จ่าย ต.ค.2568 – พ.ค.2569</t>
        </is>
      </c>
    </row>
    <row r="2">
      <c r="A2" s="15" t="inlineStr">
        <is>
          <t>นำเข้าจาก: คชจ. เมษายน 2569.xlsx (Drive) · 388 รายการ · รวม ฿16,615,599.82</t>
        </is>
      </c>
    </row>
    <row r="4">
      <c r="A4" s="4" t="inlineStr">
        <is>
          <t>📅 สรุปรายเดือน</t>
        </is>
      </c>
    </row>
    <row r="5">
      <c r="A5" s="5" t="inlineStr">
        <is>
          <t>เดือน</t>
        </is>
      </c>
      <c r="B5" s="5" t="inlineStr">
        <is>
          <t>ยอดรวม</t>
        </is>
      </c>
      <c r="C5" s="5" t="inlineStr">
        <is>
          <t>% ของทั้งหมด</t>
        </is>
      </c>
      <c r="D5" s="5" t="inlineStr">
        <is>
          <t>จำนวนรายการ</t>
        </is>
      </c>
    </row>
    <row r="6">
      <c r="A6" s="6" t="inlineStr">
        <is>
          <t>2568-10</t>
        </is>
      </c>
      <c r="B6" s="10" t="n">
        <v>3340061.98</v>
      </c>
      <c r="C6" s="13">
        <f>B6/SUM(B$6:B$12)</f>
        <v/>
      </c>
      <c r="D6" s="6" t="n">
        <v>48</v>
      </c>
    </row>
    <row r="7">
      <c r="A7" s="6" t="inlineStr">
        <is>
          <t>2568-11</t>
        </is>
      </c>
      <c r="B7" s="10" t="n">
        <v>728143.2799999999</v>
      </c>
      <c r="C7" s="13">
        <f>B7/SUM(B$6:B$12)</f>
        <v/>
      </c>
      <c r="D7" s="6" t="n">
        <v>53</v>
      </c>
    </row>
    <row r="8">
      <c r="A8" s="6" t="inlineStr">
        <is>
          <t>2568-12</t>
        </is>
      </c>
      <c r="B8" s="10" t="n">
        <v>532746.04</v>
      </c>
      <c r="C8" s="13">
        <f>B8/SUM(B$6:B$12)</f>
        <v/>
      </c>
      <c r="D8" s="6" t="n">
        <v>67</v>
      </c>
    </row>
    <row r="9">
      <c r="A9" s="6" t="inlineStr">
        <is>
          <t>2569-01</t>
        </is>
      </c>
      <c r="B9" s="10" t="n">
        <v>1657461.23</v>
      </c>
      <c r="C9" s="13">
        <f>B9/SUM(B$6:B$12)</f>
        <v/>
      </c>
      <c r="D9" s="6" t="n">
        <v>28</v>
      </c>
    </row>
    <row r="10">
      <c r="A10" s="6" t="inlineStr">
        <is>
          <t>2569-02</t>
        </is>
      </c>
      <c r="B10" s="10" t="n">
        <v>4293150.73</v>
      </c>
      <c r="C10" s="13">
        <f>B10/SUM(B$6:B$12)</f>
        <v/>
      </c>
      <c r="D10" s="6" t="n">
        <v>65</v>
      </c>
    </row>
    <row r="11">
      <c r="A11" s="6" t="inlineStr">
        <is>
          <t>2569-03</t>
        </is>
      </c>
      <c r="B11" s="10" t="n">
        <v>3123262.63</v>
      </c>
      <c r="C11" s="13">
        <f>B11/SUM(B$6:B$12)</f>
        <v/>
      </c>
      <c r="D11" s="6" t="n">
        <v>58</v>
      </c>
    </row>
    <row r="12">
      <c r="A12" s="6" t="inlineStr">
        <is>
          <t>2569-04</t>
        </is>
      </c>
      <c r="B12" s="10" t="n">
        <v>2940773.93</v>
      </c>
      <c r="C12" s="13">
        <f>B12/SUM(B$6:B$12)</f>
        <v/>
      </c>
      <c r="D12" s="6" t="n">
        <v>69</v>
      </c>
    </row>
    <row r="13">
      <c r="A13" s="16" t="inlineStr">
        <is>
          <t>รวม</t>
        </is>
      </c>
      <c r="B13" s="17">
        <f>SUM(B6:B12)</f>
        <v/>
      </c>
      <c r="C13" s="18" t="inlineStr">
        <is>
          <t>100.0%</t>
        </is>
      </c>
      <c r="D13" s="16" t="n">
        <v>388</v>
      </c>
    </row>
    <row r="14">
      <c r="A14" s="4" t="inlineStr">
        <is>
          <t>📊 สรุปตามหมวดหมู่</t>
        </is>
      </c>
    </row>
    <row r="15">
      <c r="A15" s="5" t="inlineStr">
        <is>
          <t>หมวดหมู่</t>
        </is>
      </c>
      <c r="B15" s="5" t="inlineStr">
        <is>
          <t>ยอดรวม</t>
        </is>
      </c>
      <c r="C15" s="5" t="inlineStr">
        <is>
          <t>% ของทั้งหมด</t>
        </is>
      </c>
      <c r="D15" s="5" t="inlineStr">
        <is>
          <t>แม็พเป็นบัญชี COA</t>
        </is>
      </c>
    </row>
    <row r="16">
      <c r="A16" s="6" t="n"/>
      <c r="B16" s="10" t="n"/>
      <c r="C16" s="13" t="n"/>
      <c r="D16" s="6" t="n"/>
    </row>
    <row r="17">
      <c r="A17" s="6" t="inlineStr">
        <is>
          <t>ค่าวัสดุก่อสร้าง</t>
        </is>
      </c>
      <c r="B17" s="10" t="n">
        <v>6149354.31</v>
      </c>
      <c r="C17" s="13">
        <f>B17/SUM(B$17:B$23)</f>
        <v/>
      </c>
      <c r="D17" s="6" t="inlineStr">
        <is>
          <t>ต้นทุนขาย-วัสดุก่อสร้าง</t>
        </is>
      </c>
    </row>
    <row r="18">
      <c r="A18" s="6" t="inlineStr">
        <is>
          <t>ค่าสาธารณูปโภค</t>
        </is>
      </c>
      <c r="B18" s="10" t="n">
        <v>4974345.85</v>
      </c>
      <c r="C18" s="13">
        <f>B18/SUM(B$17:B$23)</f>
        <v/>
      </c>
      <c r="D18" s="6" t="inlineStr">
        <is>
          <t>ค่าน้ำ-ไฟ-โทรศัพท์</t>
        </is>
      </c>
    </row>
    <row r="19">
      <c r="A19" s="6" t="inlineStr">
        <is>
          <t>อื่นๆ</t>
        </is>
      </c>
      <c r="B19" s="10" t="n">
        <v>2283010.54</v>
      </c>
      <c r="C19" s="13">
        <f>B19/SUM(B$17:B$23)</f>
        <v/>
      </c>
      <c r="D19" s="6" t="inlineStr">
        <is>
          <t>ค่าใช้จ่ายอื่น</t>
        </is>
      </c>
    </row>
    <row r="20">
      <c r="A20" s="6" t="inlineStr">
        <is>
          <t>สำนักงาน</t>
        </is>
      </c>
      <c r="B20" s="10" t="n">
        <v>1489177.469999999</v>
      </c>
      <c r="C20" s="13">
        <f>B20/SUM(B$17:B$23)</f>
        <v/>
      </c>
      <c r="D20" s="6" t="inlineStr">
        <is>
          <t>ค่าใช้จ่ายสำนักงาน</t>
        </is>
      </c>
    </row>
    <row r="21">
      <c r="A21" s="6" t="inlineStr"/>
      <c r="B21" s="10" t="n">
        <v>1211055</v>
      </c>
      <c r="C21" s="13">
        <f>B21/SUM(B$17:B$23)</f>
        <v/>
      </c>
      <c r="D21" s="6" t="inlineStr"/>
    </row>
    <row r="22">
      <c r="A22" s="6" t="inlineStr">
        <is>
          <t>การตลาด</t>
        </is>
      </c>
      <c r="B22" s="10" t="n">
        <v>498656.65</v>
      </c>
      <c r="C22" s="13">
        <f>B22/SUM(B$17:B$23)</f>
        <v/>
      </c>
      <c r="D22" s="6" t="inlineStr">
        <is>
          <t>ค่าโฆษณา-การตลาด</t>
        </is>
      </c>
    </row>
    <row r="23">
      <c r="A23" s="6" t="inlineStr">
        <is>
          <t>งานตกแต่ง/งานออกแบบ</t>
        </is>
      </c>
      <c r="B23" s="10" t="n">
        <v>10000</v>
      </c>
      <c r="C23" s="13">
        <f>B23/SUM(B$17:B$23)</f>
        <v/>
      </c>
      <c r="D23" s="6" t="inlineStr">
        <is>
          <t>ต้นทุนขาย-งานตกแต่ง</t>
        </is>
      </c>
    </row>
    <row r="24">
      <c r="A24" s="16" t="inlineStr">
        <is>
          <t>รวม</t>
        </is>
      </c>
      <c r="B24" s="17">
        <f>SUM(B17:B23)</f>
        <v/>
      </c>
      <c r="C24" s="18" t="inlineStr">
        <is>
          <t>100.0%</t>
        </is>
      </c>
      <c r="D24" s="16" t="inlineStr"/>
    </row>
    <row r="25">
      <c r="A25" s="4" t="inlineStr">
        <is>
          <t>💳 รูปแบบการชำระ</t>
        </is>
      </c>
    </row>
    <row r="26">
      <c r="A26" s="5" t="inlineStr">
        <is>
          <t>วิธีจ่าย</t>
        </is>
      </c>
      <c r="B26" s="5" t="inlineStr">
        <is>
          <t>ยอดรวม</t>
        </is>
      </c>
      <c r="C26" s="5" t="inlineStr">
        <is>
          <t>% ของทั้งหมด</t>
        </is>
      </c>
    </row>
    <row r="27">
      <c r="A27" s="6" t="n"/>
      <c r="B27" s="10" t="n"/>
      <c r="C27" s="13" t="n"/>
    </row>
    <row r="28">
      <c r="A28" s="6" t="inlineStr">
        <is>
          <t>เช็ค</t>
        </is>
      </c>
      <c r="B28" s="10" t="n">
        <v>9352193.140000001</v>
      </c>
      <c r="C28" s="13">
        <f>B28/SUM(B$28:B$34)</f>
        <v/>
      </c>
    </row>
    <row r="29">
      <c r="A29" s="6" t="inlineStr">
        <is>
          <t>โอน</t>
        </is>
      </c>
      <c r="B29" s="10" t="n">
        <v>4747693.669999999</v>
      </c>
      <c r="C29" s="13">
        <f>B29/SUM(B$28:B$34)</f>
        <v/>
      </c>
    </row>
    <row r="30">
      <c r="A30" s="6" t="inlineStr">
        <is>
          <t>เงินสด</t>
        </is>
      </c>
      <c r="B30" s="10" t="n">
        <v>1624648.25</v>
      </c>
      <c r="C30" s="13">
        <f>B30/SUM(B$28:B$34)</f>
        <v/>
      </c>
    </row>
    <row r="31">
      <c r="A31" s="6" t="inlineStr">
        <is>
          <t>-</t>
        </is>
      </c>
      <c r="B31" s="10" t="n">
        <v>320450.97</v>
      </c>
      <c r="C31" s="13">
        <f>B31/SUM(B$28:B$34)</f>
        <v/>
      </c>
    </row>
    <row r="32">
      <c r="A32" s="6" t="inlineStr">
        <is>
          <t>บัตรเครดิต</t>
        </is>
      </c>
      <c r="B32" s="10" t="n">
        <v>305675.49</v>
      </c>
      <c r="C32" s="13">
        <f>B32/SUM(B$28:B$34)</f>
        <v/>
      </c>
    </row>
    <row r="33">
      <c r="A33" s="6" t="inlineStr">
        <is>
          <t>เครดิต</t>
        </is>
      </c>
      <c r="B33" s="10" t="n">
        <v>257300</v>
      </c>
      <c r="C33" s="13">
        <f>B33/SUM(B$28:B$34)</f>
        <v/>
      </c>
    </row>
    <row r="34">
      <c r="A34" s="6" t="inlineStr">
        <is>
          <t>(ว่าง)</t>
        </is>
      </c>
      <c r="B34" s="10" t="n">
        <v>7638.3</v>
      </c>
      <c r="C34" s="13">
        <f>B34/SUM(B$28:B$34)</f>
        <v/>
      </c>
    </row>
    <row r="35">
      <c r="A35" s="16" t="inlineStr">
        <is>
          <t>รวม</t>
        </is>
      </c>
      <c r="B35" s="17">
        <f>SUM(B28:B34)</f>
        <v/>
      </c>
      <c r="C35" s="18" t="inlineStr">
        <is>
          <t>100.0%</t>
        </is>
      </c>
      <c r="D35" s="16" t="n"/>
    </row>
    <row r="36">
      <c r="A36" s="4" t="inlineStr">
        <is>
          <t>🏪 Top 20 Vendors โดยยอดรวม</t>
        </is>
      </c>
    </row>
    <row r="37">
      <c r="A37" s="5" t="inlineStr">
        <is>
          <t>อันดับ</t>
        </is>
      </c>
      <c r="B37" s="5" t="inlineStr">
        <is>
          <t>ชื่อร้าน/บริษัท</t>
        </is>
      </c>
      <c r="C37" s="5" t="inlineStr">
        <is>
          <t>ยอดรวม (8 เดือน)</t>
        </is>
      </c>
      <c r="D37" s="5" t="inlineStr">
        <is>
          <t>จำนวนครั้ง</t>
        </is>
      </c>
      <c r="E37" s="5" t="inlineStr">
        <is>
          <t>เฉลี่ย/ครั้ง</t>
        </is>
      </c>
    </row>
    <row r="38">
      <c r="A38" s="6" t="n"/>
      <c r="B38" s="6" t="n"/>
      <c r="C38" s="10" t="n"/>
      <c r="D38" s="6" t="n"/>
      <c r="E38" s="10" t="n"/>
    </row>
    <row r="39">
      <c r="A39" s="6" t="n">
        <v>1</v>
      </c>
      <c r="B39" s="6" t="inlineStr">
        <is>
          <t>การไฟฟ้าส่วนภูมิภาค</t>
        </is>
      </c>
      <c r="C39" s="10" t="n">
        <v>2995364.48</v>
      </c>
      <c r="D39" s="6" t="n">
        <v>22</v>
      </c>
      <c r="E39" s="10">
        <f>C39/D39</f>
        <v/>
      </c>
    </row>
    <row r="40">
      <c r="A40" s="6" t="n">
        <v>2</v>
      </c>
      <c r="B40" s="6" t="inlineStr">
        <is>
          <t>บริษัท ดับเบิ้ลยู พีเอ็นจิเนียริ่ง จำกัด</t>
        </is>
      </c>
      <c r="C40" s="10" t="n">
        <v>2000000</v>
      </c>
      <c r="D40" s="6" t="n">
        <v>1</v>
      </c>
      <c r="E40" s="10">
        <f>C40/D40</f>
        <v/>
      </c>
    </row>
    <row r="41">
      <c r="A41" s="6" t="n">
        <v>3</v>
      </c>
      <c r="B41" s="6" t="inlineStr">
        <is>
          <t>บริษัท พีดับเบิ้ลยูเอ็น จีเนียริ้ง</t>
        </is>
      </c>
      <c r="C41" s="10" t="n">
        <v>850000</v>
      </c>
      <c r="D41" s="6" t="n">
        <v>1</v>
      </c>
      <c r="E41" s="10">
        <f>C41/D41</f>
        <v/>
      </c>
    </row>
    <row r="42">
      <c r="A42" s="6" t="n">
        <v>4</v>
      </c>
      <c r="B42" s="6" t="inlineStr">
        <is>
          <t>คุณชุติเดช อายุเจริญ</t>
        </is>
      </c>
      <c r="C42" s="10" t="n">
        <v>827420</v>
      </c>
      <c r="D42" s="6" t="n">
        <v>1</v>
      </c>
      <c r="E42" s="10">
        <f>C42/D42</f>
        <v/>
      </c>
    </row>
    <row r="43">
      <c r="A43" s="6" t="n">
        <v>5</v>
      </c>
      <c r="B43" s="6" t="inlineStr">
        <is>
          <t>บริษัท ชลบุรีอึ้งย่งล้ง จำกัด</t>
        </is>
      </c>
      <c r="C43" s="10" t="n">
        <v>722357.3</v>
      </c>
      <c r="D43" s="6" t="n">
        <v>3</v>
      </c>
      <c r="E43" s="10">
        <f>C43/D43</f>
        <v/>
      </c>
    </row>
    <row r="44">
      <c r="A44" s="6" t="n">
        <v>6</v>
      </c>
      <c r="B44" s="6" t="inlineStr">
        <is>
          <t>บริษัท ส.เจริญชัยค้าวัสดุก่อสร้าง</t>
        </is>
      </c>
      <c r="C44" s="10" t="n">
        <v>716436</v>
      </c>
      <c r="D44" s="6" t="n">
        <v>3</v>
      </c>
      <c r="E44" s="10">
        <f>C44/D44</f>
        <v/>
      </c>
    </row>
    <row r="45">
      <c r="A45" s="6" t="n">
        <v>7</v>
      </c>
      <c r="B45" s="6" t="inlineStr">
        <is>
          <t>นายจิรวัฒน์ ลัคนาวัน</t>
        </is>
      </c>
      <c r="C45" s="10" t="n">
        <v>650494</v>
      </c>
      <c r="D45" s="6" t="n">
        <v>1</v>
      </c>
      <c r="E45" s="10">
        <f>C45/D45</f>
        <v/>
      </c>
    </row>
    <row r="46">
      <c r="A46" s="6" t="n">
        <v>8</v>
      </c>
      <c r="B46" s="6" t="inlineStr">
        <is>
          <t>คุณ ละมัยพันยา</t>
        </is>
      </c>
      <c r="C46" s="10" t="n">
        <v>644010</v>
      </c>
      <c r="D46" s="6" t="n">
        <v>1</v>
      </c>
      <c r="E46" s="10">
        <f>C46/D46</f>
        <v/>
      </c>
    </row>
    <row r="47">
      <c r="A47" s="6" t="n">
        <v>9</v>
      </c>
      <c r="B47" s="6" t="inlineStr">
        <is>
          <t>นางสาว จิรพร จันทร์แก้ว</t>
        </is>
      </c>
      <c r="C47" s="10" t="n">
        <v>490035</v>
      </c>
      <c r="D47" s="6" t="n">
        <v>2</v>
      </c>
      <c r="E47" s="10">
        <f>C47/D47</f>
        <v/>
      </c>
    </row>
    <row r="48">
      <c r="A48" s="6" t="n">
        <v>10</v>
      </c>
      <c r="B48" s="6" t="inlineStr">
        <is>
          <t>สำนักงานที่ดินชลบุรี</t>
        </is>
      </c>
      <c r="C48" s="10" t="n">
        <v>410199</v>
      </c>
      <c r="D48" s="6" t="n">
        <v>2</v>
      </c>
      <c r="E48" s="10">
        <f>C48/D48</f>
        <v/>
      </c>
    </row>
    <row r="49">
      <c r="A49" s="6" t="n">
        <v>11</v>
      </c>
      <c r="B49" s="6" t="inlineStr">
        <is>
          <t>พี.เจ ฮาร์ดแวร์ (2008)</t>
        </is>
      </c>
      <c r="C49" s="10" t="n">
        <v>354295</v>
      </c>
      <c r="D49" s="6" t="n">
        <v>1</v>
      </c>
      <c r="E49" s="10">
        <f>C49/D49</f>
        <v/>
      </c>
    </row>
    <row r="50">
      <c r="A50" s="6" t="n">
        <v>12</v>
      </c>
      <c r="B50" s="6" t="inlineStr">
        <is>
          <t>หจก.พี.เจ.ฮาร์ดแวร์ (2008)</t>
        </is>
      </c>
      <c r="C50" s="10" t="n">
        <v>350143</v>
      </c>
      <c r="D50" s="6" t="n">
        <v>4</v>
      </c>
      <c r="E50" s="10">
        <f>C50/D50</f>
        <v/>
      </c>
    </row>
    <row r="51">
      <c r="A51" s="6" t="n">
        <v>13</v>
      </c>
      <c r="B51" s="6" t="inlineStr">
        <is>
          <t>บริษัท เคลีย์ เวิลด์ บิสิเนส กรุ๊ป จำกัด</t>
        </is>
      </c>
      <c r="C51" s="10" t="n">
        <v>316720</v>
      </c>
      <c r="D51" s="6" t="n">
        <v>1</v>
      </c>
      <c r="E51" s="10">
        <f>C51/D51</f>
        <v/>
      </c>
    </row>
    <row r="52">
      <c r="A52" s="6" t="n">
        <v>14</v>
      </c>
      <c r="B52" s="6" t="inlineStr">
        <is>
          <t>บริษัท เคลียร์ เวิลด์ บิสิเนส กรุ๊ป จำกัด</t>
        </is>
      </c>
      <c r="C52" s="10" t="n">
        <v>316720</v>
      </c>
      <c r="D52" s="6" t="n">
        <v>1</v>
      </c>
      <c r="E52" s="10">
        <f>C52/D52</f>
        <v/>
      </c>
    </row>
    <row r="53">
      <c r="A53" s="6" t="n">
        <v>15</v>
      </c>
      <c r="B53" s="6" t="inlineStr">
        <is>
          <t>ชลบุรีอึ้งย่งล้ง</t>
        </is>
      </c>
      <c r="C53" s="10" t="n">
        <v>313865.56</v>
      </c>
      <c r="D53" s="6" t="n">
        <v>3</v>
      </c>
      <c r="E53" s="10">
        <f>C53/D53</f>
        <v/>
      </c>
    </row>
    <row r="54">
      <c r="A54" s="6" t="n">
        <v>16</v>
      </c>
      <c r="B54" s="6" t="inlineStr">
        <is>
          <t>SCB</t>
        </is>
      </c>
      <c r="C54" s="10" t="n">
        <v>301174.11</v>
      </c>
      <c r="D54" s="6" t="n">
        <v>1</v>
      </c>
      <c r="E54" s="10">
        <f>C54/D54</f>
        <v/>
      </c>
    </row>
    <row r="55">
      <c r="A55" s="6" t="n">
        <v>17</v>
      </c>
      <c r="B55" s="6" t="inlineStr">
        <is>
          <t>บจก.ชลบุรีอึ้งย่งล้ง</t>
        </is>
      </c>
      <c r="C55" s="10" t="n">
        <v>273520.1</v>
      </c>
      <c r="D55" s="6" t="n">
        <v>1</v>
      </c>
      <c r="E55" s="10">
        <f>C55/D55</f>
        <v/>
      </c>
    </row>
    <row r="56">
      <c r="A56" s="6" t="n">
        <v>18</v>
      </c>
      <c r="B56" s="6" t="inlineStr">
        <is>
          <t>คุงเจริญ</t>
        </is>
      </c>
      <c r="C56" s="10" t="n">
        <v>257300</v>
      </c>
      <c r="D56" s="6" t="n">
        <v>2</v>
      </c>
      <c r="E56" s="10">
        <f>C56/D56</f>
        <v/>
      </c>
    </row>
    <row r="57">
      <c r="A57" s="6" t="n">
        <v>19</v>
      </c>
      <c r="B57" s="6" t="inlineStr">
        <is>
          <t>เพิ่มทรัพย์ ค้าวัสดุก่อสร้าง</t>
        </is>
      </c>
      <c r="C57" s="10" t="n">
        <v>248856</v>
      </c>
      <c r="D57" s="6" t="n">
        <v>1</v>
      </c>
      <c r="E57" s="10">
        <f>C57/D57</f>
        <v/>
      </c>
    </row>
    <row r="58">
      <c r="A58" s="6" t="n">
        <v>20</v>
      </c>
      <c r="B58" s="6" t="inlineStr">
        <is>
          <t>บริษัท สหโชคชัย แปดริ้ว จำกัด</t>
        </is>
      </c>
      <c r="C58" s="10" t="n">
        <v>242260</v>
      </c>
      <c r="D58" s="6" t="n">
        <v>1</v>
      </c>
      <c r="E58" s="10">
        <f>C58/D58</f>
        <v/>
      </c>
    </row>
    <row r="59">
      <c r="A59" s="4" t="inlineStr">
        <is>
          <t>🔀 Pivot · เดือน × หมวด</t>
        </is>
      </c>
    </row>
    <row r="60">
      <c r="A60" s="5" t="inlineStr">
        <is>
          <t>เดือน</t>
        </is>
      </c>
      <c r="B60" s="5" t="inlineStr">
        <is>
          <t>ค่าวัสดุก่อสร้าง</t>
        </is>
      </c>
      <c r="C60" s="5" t="inlineStr">
        <is>
          <t>ค่าสาธารณูปโภค</t>
        </is>
      </c>
      <c r="D60" s="5" t="inlineStr">
        <is>
          <t>อื่นๆ</t>
        </is>
      </c>
      <c r="E60" s="5" t="inlineStr">
        <is>
          <t>สำนักงาน</t>
        </is>
      </c>
      <c r="F60" s="5" t="inlineStr"/>
      <c r="G60" s="5" t="inlineStr">
        <is>
          <t>การตลาด</t>
        </is>
      </c>
      <c r="H60" s="5" t="inlineStr">
        <is>
          <t>งานตกแต่ง/งานออกแบบ</t>
        </is>
      </c>
      <c r="I60" s="5" t="inlineStr">
        <is>
          <t>รวม/เดือน</t>
        </is>
      </c>
    </row>
    <row r="61">
      <c r="A61" s="19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9" t="inlineStr">
        <is>
          <t>2568-10</t>
        </is>
      </c>
      <c r="B62" s="10" t="n">
        <v>945257.75</v>
      </c>
      <c r="C62" s="10" t="n">
        <v>2028477.21</v>
      </c>
      <c r="D62" s="10" t="n">
        <v>325013.11</v>
      </c>
      <c r="E62" s="10" t="n">
        <v>23825.91</v>
      </c>
      <c r="F62" s="10" t="n">
        <v>0</v>
      </c>
      <c r="G62" s="10" t="n">
        <v>7488</v>
      </c>
      <c r="H62" s="10" t="n">
        <v>10000</v>
      </c>
      <c r="I62" s="10">
        <f>SUM(B62:H62)</f>
        <v/>
      </c>
    </row>
    <row r="63">
      <c r="A63" s="19" t="inlineStr">
        <is>
          <t>2568-11</t>
        </is>
      </c>
      <c r="B63" s="10" t="n">
        <v>467867.17</v>
      </c>
      <c r="C63" s="10" t="n">
        <v>29616.44</v>
      </c>
      <c r="D63" s="10" t="n">
        <v>874.4299999999999</v>
      </c>
      <c r="E63" s="10" t="n">
        <v>229785.24</v>
      </c>
      <c r="F63" s="10" t="n">
        <v>0</v>
      </c>
      <c r="G63" s="10" t="n">
        <v>0</v>
      </c>
      <c r="H63" s="10" t="n">
        <v>0</v>
      </c>
      <c r="I63" s="10">
        <f>SUM(B63:H63)</f>
        <v/>
      </c>
    </row>
    <row r="64">
      <c r="A64" s="19" t="inlineStr">
        <is>
          <t>2568-12</t>
        </is>
      </c>
      <c r="B64" s="10" t="n">
        <v>391531</v>
      </c>
      <c r="C64" s="10" t="n">
        <v>18399.18</v>
      </c>
      <c r="D64" s="10" t="n">
        <v>23715</v>
      </c>
      <c r="E64" s="10" t="n">
        <v>38546.21</v>
      </c>
      <c r="F64" s="10" t="n">
        <v>0</v>
      </c>
      <c r="G64" s="10" t="n">
        <v>60554.65</v>
      </c>
      <c r="H64" s="10" t="n">
        <v>0</v>
      </c>
      <c r="I64" s="10">
        <f>SUM(B64:H64)</f>
        <v/>
      </c>
    </row>
    <row r="65">
      <c r="A65" s="19" t="inlineStr">
        <is>
          <t>2569-01</t>
        </is>
      </c>
      <c r="B65" s="10" t="n">
        <v>753215.14</v>
      </c>
      <c r="C65" s="10" t="n">
        <v>24473.74</v>
      </c>
      <c r="D65" s="10" t="n">
        <v>5500</v>
      </c>
      <c r="E65" s="10" t="n">
        <v>12778.35</v>
      </c>
      <c r="F65" s="10" t="n">
        <v>850000</v>
      </c>
      <c r="G65" s="10" t="n">
        <v>11494</v>
      </c>
      <c r="H65" s="10" t="n">
        <v>0</v>
      </c>
      <c r="I65" s="10">
        <f>SUM(B65:H65)</f>
        <v/>
      </c>
    </row>
    <row r="66">
      <c r="A66" s="19" t="inlineStr">
        <is>
          <t>2569-02</t>
        </is>
      </c>
      <c r="B66" s="10" t="n">
        <v>1375884.82</v>
      </c>
      <c r="C66" s="10" t="n">
        <v>2865579.28</v>
      </c>
      <c r="D66" s="10" t="n">
        <v>15809</v>
      </c>
      <c r="E66" s="10" t="n">
        <v>28832.63</v>
      </c>
      <c r="F66" s="10" t="n">
        <v>0</v>
      </c>
      <c r="G66" s="10" t="n">
        <v>7045</v>
      </c>
      <c r="H66" s="10" t="n">
        <v>0</v>
      </c>
      <c r="I66" s="10">
        <f>SUM(B66:H66)</f>
        <v/>
      </c>
    </row>
    <row r="67">
      <c r="A67" s="19" t="inlineStr">
        <is>
          <t>2569-03</t>
        </is>
      </c>
      <c r="B67" s="10" t="n">
        <v>165247.46</v>
      </c>
      <c r="C67" s="10" t="n">
        <v>7800</v>
      </c>
      <c r="D67" s="10" t="n">
        <v>1912099</v>
      </c>
      <c r="E67" s="10" t="n">
        <v>264986.17</v>
      </c>
      <c r="F67" s="10" t="n">
        <v>361055</v>
      </c>
      <c r="G67" s="10" t="n">
        <v>412075</v>
      </c>
      <c r="H67" s="10" t="n">
        <v>0</v>
      </c>
      <c r="I67" s="10">
        <f>SUM(B67:H67)</f>
        <v/>
      </c>
    </row>
    <row r="68">
      <c r="A68" s="19" t="inlineStr">
        <is>
          <t>2569-04</t>
        </is>
      </c>
      <c r="B68" s="10" t="n">
        <v>2050350.97</v>
      </c>
      <c r="C68" s="10" t="n">
        <v>0</v>
      </c>
      <c r="D68" s="10" t="n">
        <v>0</v>
      </c>
      <c r="E68" s="10" t="n">
        <v>890422.9600000001</v>
      </c>
      <c r="F68" s="10" t="n">
        <v>0</v>
      </c>
      <c r="G68" s="10" t="n">
        <v>0</v>
      </c>
      <c r="H68" s="10" t="n">
        <v>0</v>
      </c>
      <c r="I68" s="10">
        <f>SUM(B68:H68)</f>
        <v/>
      </c>
    </row>
    <row r="69">
      <c r="A69" s="16" t="inlineStr">
        <is>
          <t>รวม/หมวด</t>
        </is>
      </c>
      <c r="B69" s="17">
        <f>SUM(B62:B68)</f>
        <v/>
      </c>
      <c r="C69" s="17">
        <f>SUM(C62:C68)</f>
        <v/>
      </c>
      <c r="D69" s="17">
        <f>SUM(D62:D68)</f>
        <v/>
      </c>
      <c r="E69" s="17">
        <f>SUM(E62:E68)</f>
        <v/>
      </c>
      <c r="F69" s="17">
        <f>SUM(F62:F68)</f>
        <v/>
      </c>
      <c r="G69" s="17">
        <f>SUM(G62:G68)</f>
        <v/>
      </c>
      <c r="H69" s="17">
        <f>SUM(H62:H68)</f>
        <v/>
      </c>
      <c r="I69" s="17">
        <f>SUM(I62:I68)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28" customHeight="1">
      <c r="A1" s="9" t="inlineStr">
        <is>
          <t>date</t>
        </is>
      </c>
      <c r="B1" s="9" t="inlineStr">
        <is>
          <t>voucher_no</t>
        </is>
      </c>
      <c r="C1" s="9" t="inlineStr">
        <is>
          <t>description</t>
        </is>
      </c>
      <c r="D1" s="9" t="inlineStr">
        <is>
          <t>category</t>
        </is>
      </c>
      <c r="E1" s="9" t="inlineStr">
        <is>
          <t>project</t>
        </is>
      </c>
      <c r="F1" s="9" t="inlineStr">
        <is>
          <t>debit</t>
        </is>
      </c>
      <c r="G1" s="9" t="inlineStr">
        <is>
          <t>credit</t>
        </is>
      </c>
      <c r="H1" s="9" t="inlineStr">
        <is>
          <t>balance</t>
        </is>
      </c>
      <c r="I1" s="9" t="inlineStr">
        <is>
          <t>ref_doc</t>
        </is>
      </c>
    </row>
    <row r="2">
      <c r="A2" s="6" t="inlineStr">
        <is>
          <t>2569-03-01</t>
        </is>
      </c>
      <c r="B2" s="6" t="inlineStr">
        <is>
          <t>V-OPEN-001</t>
        </is>
      </c>
      <c r="C2" s="6" t="inlineStr">
        <is>
          <t>ยอดยกมาต้นงวด (ต.ค. 68)</t>
        </is>
      </c>
      <c r="D2" s="6" t="inlineStr">
        <is>
          <t>ยอดยกมา</t>
        </is>
      </c>
      <c r="E2" s="6" t="inlineStr">
        <is>
          <t>ALL</t>
        </is>
      </c>
      <c r="F2" s="10" t="n">
        <v>12400000</v>
      </c>
      <c r="G2" s="10" t="n">
        <v>0</v>
      </c>
      <c r="H2" s="10" t="n">
        <v>12400000</v>
      </c>
      <c r="I2" s="6" t="inlineStr"/>
    </row>
    <row r="3">
      <c r="A3" s="6" t="inlineStr">
        <is>
          <t>2568-02-28</t>
        </is>
      </c>
      <c r="B3" s="6" t="inlineStr">
        <is>
          <t>V-256802-0001</t>
        </is>
      </c>
      <c r="C3" s="6" t="inlineStr">
        <is>
          <t>นาย ธวัชชัย รุ่งเรืองสินงาม — ค่าขยะ [พี่ไอซ์ชำระ]</t>
        </is>
      </c>
      <c r="D3" s="6" t="inlineStr">
        <is>
          <t>ค่าน้ำ-ไฟ-โทรศัพท์</t>
        </is>
      </c>
      <c r="E3" s="6" t="inlineStr">
        <is>
          <t>ALL</t>
        </is>
      </c>
      <c r="F3" s="10" t="n">
        <v>0</v>
      </c>
      <c r="G3" s="10" t="n">
        <v>7800</v>
      </c>
      <c r="H3" s="10" t="n">
        <v>12392200</v>
      </c>
      <c r="I3" s="6" t="inlineStr">
        <is>
          <t>โอน</t>
        </is>
      </c>
    </row>
    <row r="4">
      <c r="A4" s="6" t="inlineStr">
        <is>
          <t>2568-08-04</t>
        </is>
      </c>
      <c r="B4" s="6" t="inlineStr">
        <is>
          <t>V-256808-0001</t>
        </is>
      </c>
      <c r="C4" s="6" t="inlineStr">
        <is>
          <t>CCA. โทร081-577-6613 — วัสดุก่อสร้าง [มีใบกำกับภาษี]</t>
        </is>
      </c>
      <c r="D4" s="6" t="inlineStr">
        <is>
          <t>ต้นทุนขาย-วัสดุก่อสร้าง</t>
        </is>
      </c>
      <c r="E4" s="6" t="inlineStr">
        <is>
          <t>ALL</t>
        </is>
      </c>
      <c r="F4" s="10" t="n">
        <v>0</v>
      </c>
      <c r="G4" s="10" t="n">
        <v>123457</v>
      </c>
      <c r="H4" s="10" t="n">
        <v>12268743</v>
      </c>
      <c r="I4" s="6" t="inlineStr">
        <is>
          <t>เช็ค</t>
        </is>
      </c>
    </row>
    <row r="5">
      <c r="A5" s="6" t="inlineStr">
        <is>
          <t>2568-08-30</t>
        </is>
      </c>
      <c r="B5" s="6" t="inlineStr">
        <is>
          <t>V-256808-0002</t>
        </is>
      </c>
      <c r="C5" s="6" t="inlineStr">
        <is>
          <t>บริษัท สุทธิพงศ์ค้าวัสดุก่อสร้าง — วัสดุก่อสร้าง</t>
        </is>
      </c>
      <c r="D5" s="6" t="inlineStr">
        <is>
          <t>ต้นทุนขาย-วัสดุก่อสร้าง</t>
        </is>
      </c>
      <c r="E5" s="6" t="inlineStr">
        <is>
          <t>ALL</t>
        </is>
      </c>
      <c r="F5" s="10" t="n">
        <v>0</v>
      </c>
      <c r="G5" s="10" t="n">
        <v>36288</v>
      </c>
      <c r="H5" s="10" t="n">
        <v>12232455</v>
      </c>
      <c r="I5" s="6" t="inlineStr">
        <is>
          <t>เงินสด</t>
        </is>
      </c>
    </row>
    <row r="6">
      <c r="A6" s="6" t="inlineStr">
        <is>
          <t>2568-09-02</t>
        </is>
      </c>
      <c r="B6" s="6" t="inlineStr">
        <is>
          <t>V-256809-0001</t>
        </is>
      </c>
      <c r="C6" s="6" t="inlineStr">
        <is>
          <t>บริษัท คุงเจริญโลหะกิจ จำกัด — วัสดุก่อสร้าง</t>
        </is>
      </c>
      <c r="D6" s="6" t="inlineStr">
        <is>
          <t>ต้นทุนขาย-วัสดุก่อสร้าง</t>
        </is>
      </c>
      <c r="E6" s="6" t="inlineStr">
        <is>
          <t>ALL</t>
        </is>
      </c>
      <c r="F6" s="10" t="n">
        <v>0</v>
      </c>
      <c r="G6" s="10" t="n">
        <v>106090.05</v>
      </c>
      <c r="H6" s="10" t="n">
        <v>12126364.95</v>
      </c>
      <c r="I6" s="6" t="inlineStr">
        <is>
          <t>โอน</t>
        </is>
      </c>
    </row>
    <row r="7">
      <c r="A7" s="6" t="inlineStr">
        <is>
          <t>2568-09-18</t>
        </is>
      </c>
      <c r="B7" s="6" t="inlineStr">
        <is>
          <t>V-256809-0002</t>
        </is>
      </c>
      <c r="C7" s="6" t="inlineStr">
        <is>
          <t>SCB — LG [ค่าLG]</t>
        </is>
      </c>
      <c r="D7" s="6" t="inlineStr">
        <is>
          <t>ค่าใช้จ่ายอื่น</t>
        </is>
      </c>
      <c r="E7" s="6" t="inlineStr">
        <is>
          <t>ALL</t>
        </is>
      </c>
      <c r="F7" s="10" t="n">
        <v>0</v>
      </c>
      <c r="G7" s="10" t="n">
        <v>301174.11</v>
      </c>
      <c r="H7" s="10" t="n">
        <v>11825190.84</v>
      </c>
      <c r="I7" s="6" t="inlineStr">
        <is>
          <t>โอน</t>
        </is>
      </c>
    </row>
    <row r="8">
      <c r="A8" s="6" t="inlineStr">
        <is>
          <t>2568-10-02</t>
        </is>
      </c>
      <c r="B8" s="6" t="inlineStr">
        <is>
          <t>V-256810-0001</t>
        </is>
      </c>
      <c r="C8" s="6" t="inlineStr">
        <is>
          <t>ศรีพโลค้าวัสดุ — ทาง1000gg สามตาวาย ข้อลด [เงินสดย่อยบรรลือศักดิ์ บิลเงินสด]</t>
        </is>
      </c>
      <c r="D8" s="6" t="inlineStr">
        <is>
          <t>ต้นทุนขาย-วัสดุก่อสร้าง</t>
        </is>
      </c>
      <c r="E8" s="6" t="inlineStr">
        <is>
          <t>ALL</t>
        </is>
      </c>
      <c r="F8" s="10" t="n">
        <v>0</v>
      </c>
      <c r="G8" s="10" t="n">
        <v>2795</v>
      </c>
      <c r="H8" s="10" t="n">
        <v>11822395.84</v>
      </c>
      <c r="I8" s="6" t="inlineStr">
        <is>
          <t>เงินสด</t>
        </is>
      </c>
    </row>
    <row r="9">
      <c r="A9" s="6" t="inlineStr">
        <is>
          <t>2568-10-03</t>
        </is>
      </c>
      <c r="B9" s="6" t="inlineStr">
        <is>
          <t>V-256810-0002</t>
        </is>
      </c>
      <c r="C9" s="6" t="inlineStr">
        <is>
          <t>การไฟฟ้าส่วนภูมิภาค — ค่าไฟหม้อ5 [เงินสดย่อยกมลชนก]</t>
        </is>
      </c>
      <c r="D9" s="6" t="inlineStr">
        <is>
          <t>ค่าน้ำ-ไฟ-โทรศัพท์</t>
        </is>
      </c>
      <c r="E9" s="6" t="inlineStr">
        <is>
          <t>ALL</t>
        </is>
      </c>
      <c r="F9" s="10" t="n">
        <v>0</v>
      </c>
      <c r="G9" s="10" t="n">
        <v>1356.33</v>
      </c>
      <c r="H9" s="10" t="n">
        <v>11821039.51</v>
      </c>
      <c r="I9" s="6" t="inlineStr">
        <is>
          <t>โอน</t>
        </is>
      </c>
    </row>
    <row r="10">
      <c r="A10" s="6" t="inlineStr">
        <is>
          <t>2568-10-03</t>
        </is>
      </c>
      <c r="B10" s="6" t="inlineStr">
        <is>
          <t>V-256810-0003</t>
        </is>
      </c>
      <c r="C10" s="6" t="inlineStr">
        <is>
          <t>การไฟฟ้าส่วนภูมิภาค — ค่าไฟ</t>
        </is>
      </c>
      <c r="D10" s="6" t="inlineStr">
        <is>
          <t>ค่าน้ำ-ไฟ-โทรศัพท์</t>
        </is>
      </c>
      <c r="E10" s="6" t="inlineStr">
        <is>
          <t>ALL</t>
        </is>
      </c>
      <c r="F10" s="10" t="n">
        <v>0</v>
      </c>
      <c r="G10" s="10" t="n">
        <v>6898.2</v>
      </c>
      <c r="H10" s="10" t="n">
        <v>11814141.31</v>
      </c>
      <c r="I10" s="6" t="inlineStr">
        <is>
          <t>โอน</t>
        </is>
      </c>
    </row>
    <row r="11">
      <c r="A11" s="6" t="inlineStr">
        <is>
          <t>2568-10-03</t>
        </is>
      </c>
      <c r="B11" s="6" t="inlineStr">
        <is>
          <t>V-256810-0004</t>
        </is>
      </c>
      <c r="C11" s="6" t="inlineStr">
        <is>
          <t>การไฟฟ้าส่วนภูมิภาค — ค่าไฟ</t>
        </is>
      </c>
      <c r="D11" s="6" t="inlineStr">
        <is>
          <t>ค่าน้ำ-ไฟ-โทรศัพท์</t>
        </is>
      </c>
      <c r="E11" s="6" t="inlineStr">
        <is>
          <t>ALL</t>
        </is>
      </c>
      <c r="F11" s="10" t="n">
        <v>0</v>
      </c>
      <c r="G11" s="10" t="n">
        <v>10063.29</v>
      </c>
      <c r="H11" s="10" t="n">
        <v>11804078.02</v>
      </c>
      <c r="I11" s="6" t="inlineStr">
        <is>
          <t>โอน</t>
        </is>
      </c>
    </row>
    <row r="12">
      <c r="A12" s="6" t="inlineStr">
        <is>
          <t>2568-10-03</t>
        </is>
      </c>
      <c r="B12" s="6" t="inlineStr">
        <is>
          <t>V-256810-0005</t>
        </is>
      </c>
      <c r="C12" s="6" t="inlineStr">
        <is>
          <t>การไฟฟ้าส่วนภูมิภาค — ค่าไฟ</t>
        </is>
      </c>
      <c r="D12" s="6" t="inlineStr">
        <is>
          <t>ค่าน้ำ-ไฟ-โทรศัพท์</t>
        </is>
      </c>
      <c r="E12" s="6" t="inlineStr">
        <is>
          <t>ALL</t>
        </is>
      </c>
      <c r="F12" s="10" t="n">
        <v>0</v>
      </c>
      <c r="G12" s="10" t="n">
        <v>2244.06</v>
      </c>
      <c r="H12" s="10" t="n">
        <v>11801833.96</v>
      </c>
      <c r="I12" s="6" t="inlineStr">
        <is>
          <t>โอน</t>
        </is>
      </c>
    </row>
    <row r="13">
      <c r="A13" s="6" t="inlineStr">
        <is>
          <t>2568-10-03</t>
        </is>
      </c>
      <c r="B13" s="6" t="inlineStr">
        <is>
          <t>V-256810-0006</t>
        </is>
      </c>
      <c r="C13" s="6" t="inlineStr">
        <is>
          <t>ศรีพโลค้าวัสดุ — ฝาครอบ อุปกรณ์ช่าง [เงินสดย่อยบรรลือศักดิ์ บิลเงินสด]</t>
        </is>
      </c>
      <c r="D13" s="6" t="inlineStr">
        <is>
          <t>ต้นทุนขาย-วัสดุก่อสร้าง</t>
        </is>
      </c>
      <c r="E13" s="6" t="inlineStr">
        <is>
          <t>ALL</t>
        </is>
      </c>
      <c r="F13" s="10" t="n">
        <v>0</v>
      </c>
      <c r="G13" s="10" t="n">
        <v>770</v>
      </c>
      <c r="H13" s="10" t="n">
        <v>11801063.96</v>
      </c>
      <c r="I13" s="6" t="inlineStr">
        <is>
          <t>เงินสด</t>
        </is>
      </c>
    </row>
    <row r="14">
      <c r="A14" s="6" t="inlineStr">
        <is>
          <t>2568-10-03</t>
        </is>
      </c>
      <c r="B14" s="6" t="inlineStr">
        <is>
          <t>V-256810-0007</t>
        </is>
      </c>
      <c r="C14" s="6" t="inlineStr">
        <is>
          <t>ศรีพโลค้าวัสดุ — สามตาพีวาย อีบ็อกซี [เงินสดย่อยบรรลือศักดิ์ บิลเงินสด]</t>
        </is>
      </c>
      <c r="D14" s="6" t="inlineStr">
        <is>
          <t>ต้นทุนขาย-วัสดุก่อสร้าง</t>
        </is>
      </c>
      <c r="E14" s="6" t="inlineStr">
        <is>
          <t>ALL</t>
        </is>
      </c>
      <c r="F14" s="10" t="n">
        <v>0</v>
      </c>
      <c r="G14" s="10" t="n">
        <v>700</v>
      </c>
      <c r="H14" s="10" t="n">
        <v>11800363.96</v>
      </c>
      <c r="I14" s="6" t="inlineStr">
        <is>
          <t>เงินสด</t>
        </is>
      </c>
    </row>
    <row r="15">
      <c r="A15" s="6" t="inlineStr">
        <is>
          <t>2568-10-05</t>
        </is>
      </c>
      <c r="B15" s="6" t="inlineStr">
        <is>
          <t>V-256810-0008</t>
        </is>
      </c>
      <c r="C15" s="6" t="inlineStr">
        <is>
          <t>Shopee — กล่องจดหมายหน้าสำนักงาน [เงินสดย่อยกมลชนก มีสลิปแยก]</t>
        </is>
      </c>
      <c r="D15" s="6" t="inlineStr">
        <is>
          <t>ค่าใช้จ่ายอื่น</t>
        </is>
      </c>
      <c r="E15" s="6" t="inlineStr">
        <is>
          <t>ALL</t>
        </is>
      </c>
      <c r="F15" s="10" t="n">
        <v>0</v>
      </c>
      <c r="G15" s="10" t="n">
        <v>417</v>
      </c>
      <c r="H15" s="10" t="n">
        <v>11799946.96</v>
      </c>
      <c r="I15" s="6" t="inlineStr">
        <is>
          <t>โอน</t>
        </is>
      </c>
    </row>
    <row r="16">
      <c r="A16" s="6" t="inlineStr">
        <is>
          <t>2568-10-05</t>
        </is>
      </c>
      <c r="B16" s="6" t="inlineStr">
        <is>
          <t>V-256810-0009</t>
        </is>
      </c>
      <c r="C16" s="6" t="inlineStr">
        <is>
          <t>Shopee — เสากั้นทางเดิน [เงินสดย่อยกมลชนก ไม่มีสลิป]</t>
        </is>
      </c>
      <c r="D16" s="6" t="inlineStr">
        <is>
          <t>ค่าใช้จ่ายอื่น</t>
        </is>
      </c>
      <c r="E16" s="6" t="inlineStr">
        <is>
          <t>ALL</t>
        </is>
      </c>
      <c r="F16" s="10" t="n">
        <v>0</v>
      </c>
      <c r="G16" s="10" t="n">
        <v>848</v>
      </c>
      <c r="H16" s="10" t="n">
        <v>11799098.96</v>
      </c>
      <c r="I16" s="6" t="inlineStr">
        <is>
          <t>โอน</t>
        </is>
      </c>
    </row>
    <row r="17">
      <c r="A17" s="6" t="inlineStr">
        <is>
          <t>2568-10-05</t>
        </is>
      </c>
      <c r="B17" s="6" t="inlineStr">
        <is>
          <t>V-256810-0010</t>
        </is>
      </c>
      <c r="C17" s="6" t="inlineStr">
        <is>
          <t>Shopee — ตู้ลิ้นชัก [เงินสดย่อยกมลชนก ไม่มีสลิป]</t>
        </is>
      </c>
      <c r="D17" s="6" t="inlineStr">
        <is>
          <t>ค่าใช้จ่ายอื่น</t>
        </is>
      </c>
      <c r="E17" s="6" t="inlineStr">
        <is>
          <t>ALL</t>
        </is>
      </c>
      <c r="F17" s="10" t="n">
        <v>0</v>
      </c>
      <c r="G17" s="10" t="n">
        <v>1594</v>
      </c>
      <c r="H17" s="10" t="n">
        <v>11797504.96</v>
      </c>
      <c r="I17" s="6" t="inlineStr">
        <is>
          <t>โอน</t>
        </is>
      </c>
    </row>
    <row r="18">
      <c r="A18" s="6" t="inlineStr">
        <is>
          <t>2568-10-06</t>
        </is>
      </c>
      <c r="B18" s="6" t="inlineStr">
        <is>
          <t>V-256810-0011</t>
        </is>
      </c>
      <c r="C18" s="6" t="inlineStr">
        <is>
          <t>นายบรรลือศักดิ์ ไพราม — เคลียร์เงินสดย่อยเดือนกันยา [ยอดรวม 14,835.65 ชำระวันที่ 6/10/68ตามสล]</t>
        </is>
      </c>
      <c r="D18" s="6" t="inlineStr">
        <is>
          <t>ต้นทุนขาย-วัสดุก่อสร้าง</t>
        </is>
      </c>
      <c r="E18" s="6" t="inlineStr">
        <is>
          <t>ALL</t>
        </is>
      </c>
      <c r="F18" s="10" t="n">
        <v>0</v>
      </c>
      <c r="G18" s="10" t="n">
        <v>2040</v>
      </c>
      <c r="H18" s="10" t="n">
        <v>11795464.96</v>
      </c>
      <c r="I18" s="6" t="inlineStr">
        <is>
          <t>โอน</t>
        </is>
      </c>
    </row>
    <row r="19">
      <c r="A19" s="6" t="inlineStr">
        <is>
          <t>2568-10-06</t>
        </is>
      </c>
      <c r="B19" s="6" t="inlineStr">
        <is>
          <t>V-256810-0012</t>
        </is>
      </c>
      <c r="C19" s="6" t="inlineStr">
        <is>
          <t>MegaHome — กระเบื้อง</t>
        </is>
      </c>
      <c r="D19" s="6" t="inlineStr">
        <is>
          <t>ต้นทุนขาย-วัสดุก่อสร้าง</t>
        </is>
      </c>
      <c r="E19" s="6" t="inlineStr">
        <is>
          <t>ALL</t>
        </is>
      </c>
      <c r="F19" s="10" t="n">
        <v>0</v>
      </c>
      <c r="G19" s="10" t="n">
        <v>125850</v>
      </c>
      <c r="H19" s="10" t="n">
        <v>11669614.96</v>
      </c>
      <c r="I19" s="6" t="inlineStr">
        <is>
          <t>บัตรเครดิต</t>
        </is>
      </c>
    </row>
    <row r="20">
      <c r="A20" s="6" t="inlineStr">
        <is>
          <t>2568-10-06</t>
        </is>
      </c>
      <c r="B20" s="6" t="inlineStr">
        <is>
          <t>V-256810-0013</t>
        </is>
      </c>
      <c r="C20" s="6" t="inlineStr">
        <is>
          <t>MegaHome — กระเบื้อง</t>
        </is>
      </c>
      <c r="D20" s="6" t="inlineStr">
        <is>
          <t>ต้นทุนขาย-วัสดุก่อสร้าง</t>
        </is>
      </c>
      <c r="E20" s="6" t="inlineStr">
        <is>
          <t>ALL</t>
        </is>
      </c>
      <c r="F20" s="10" t="n">
        <v>0</v>
      </c>
      <c r="G20" s="10" t="n">
        <v>61834</v>
      </c>
      <c r="H20" s="10" t="n">
        <v>11607780.96</v>
      </c>
      <c r="I20" s="6" t="inlineStr">
        <is>
          <t>บัตรเครดิต</t>
        </is>
      </c>
    </row>
    <row r="21">
      <c r="A21" s="6" t="inlineStr">
        <is>
          <t>2568-10-06</t>
        </is>
      </c>
      <c r="B21" s="6" t="inlineStr">
        <is>
          <t>V-256810-0014</t>
        </is>
      </c>
      <c r="C21" s="6" t="inlineStr">
        <is>
          <t>นาย สามารถ — ดอกไม้ไหว้พระ [เงินสดย่อยกมลชนก    ไม่มีใบเสร็จ]</t>
        </is>
      </c>
      <c r="D21" s="6" t="inlineStr">
        <is>
          <t>ค่าใช้จ่ายอื่น</t>
        </is>
      </c>
      <c r="E21" s="6" t="inlineStr">
        <is>
          <t>ALL</t>
        </is>
      </c>
      <c r="F21" s="10" t="n">
        <v>0</v>
      </c>
      <c r="G21" s="10" t="n">
        <v>100</v>
      </c>
      <c r="H21" s="10" t="n">
        <v>11607680.96</v>
      </c>
      <c r="I21" s="6" t="inlineStr">
        <is>
          <t>เงินสด</t>
        </is>
      </c>
    </row>
    <row r="22">
      <c r="A22" s="6" t="inlineStr">
        <is>
          <t>2568-10-07</t>
        </is>
      </c>
      <c r="B22" s="6" t="inlineStr">
        <is>
          <t>V-256810-0015</t>
        </is>
      </c>
      <c r="C22" s="6" t="inlineStr">
        <is>
          <t>นางสาว ลภัสรดา กุลประยงค์ — ขอหนังสือรับรองแปลงยาว [เงินสดย่อยกมลชนก]</t>
        </is>
      </c>
      <c r="D22" s="6" t="inlineStr">
        <is>
          <t>ค่าใช้จ่ายอื่น</t>
        </is>
      </c>
      <c r="E22" s="6" t="inlineStr">
        <is>
          <t>ALL</t>
        </is>
      </c>
      <c r="F22" s="10" t="n">
        <v>0</v>
      </c>
      <c r="G22" s="10" t="n">
        <v>790</v>
      </c>
      <c r="H22" s="10" t="n">
        <v>11606890.96</v>
      </c>
      <c r="I22" s="6" t="inlineStr">
        <is>
          <t>โอน</t>
        </is>
      </c>
    </row>
    <row r="23">
      <c r="A23" s="6" t="inlineStr">
        <is>
          <t>2568-10-10</t>
        </is>
      </c>
      <c r="B23" s="6" t="inlineStr">
        <is>
          <t>V-256810-0016</t>
        </is>
      </c>
      <c r="C23" s="6" t="inlineStr">
        <is>
          <t>บริษัท ชลบุรีอึ้งย่งล้ง จำกัด — วัสดุก่อสร้าง</t>
        </is>
      </c>
      <c r="D23" s="6" t="inlineStr">
        <is>
          <t>ต้นทุนขาย-วัสดุก่อสร้าง</t>
        </is>
      </c>
      <c r="E23" s="6" t="inlineStr">
        <is>
          <t>ALL</t>
        </is>
      </c>
      <c r="F23" s="10" t="n">
        <v>0</v>
      </c>
      <c r="G23" s="10" t="n">
        <v>198618.2</v>
      </c>
      <c r="H23" s="10" t="n">
        <v>11408272.76</v>
      </c>
      <c r="I23" s="6" t="inlineStr">
        <is>
          <t>เช็ค</t>
        </is>
      </c>
    </row>
    <row r="24">
      <c r="A24" s="6" t="inlineStr">
        <is>
          <t>2568-10-10</t>
        </is>
      </c>
      <c r="B24" s="6" t="inlineStr">
        <is>
          <t>V-256810-0017</t>
        </is>
      </c>
      <c r="C24" s="6" t="inlineStr">
        <is>
          <t>บริษัท ส.เจริญชัยค้าวัสดุก่อสร้าง — วัสดุก่อสร้าง</t>
        </is>
      </c>
      <c r="D24" s="6" t="inlineStr">
        <is>
          <t>ต้นทุนขาย-วัสดุก่อสร้าง</t>
        </is>
      </c>
      <c r="E24" s="6" t="inlineStr">
        <is>
          <t>ALL</t>
        </is>
      </c>
      <c r="F24" s="10" t="n">
        <v>0</v>
      </c>
      <c r="G24" s="10" t="n">
        <v>99135</v>
      </c>
      <c r="H24" s="10" t="n">
        <v>11309137.76</v>
      </c>
      <c r="I24" s="6" t="inlineStr">
        <is>
          <t>เช็ค</t>
        </is>
      </c>
    </row>
    <row r="25">
      <c r="A25" s="6" t="inlineStr">
        <is>
          <t>2568-10-11</t>
        </is>
      </c>
      <c r="B25" s="6" t="inlineStr">
        <is>
          <t>V-256810-0018</t>
        </is>
      </c>
      <c r="C25" s="6" t="inlineStr">
        <is>
          <t>Index — คัตเตอร์ [เงินสดย่อยกมลชนก ไม่มีสลิป]</t>
        </is>
      </c>
      <c r="D25" s="6" t="inlineStr">
        <is>
          <t>ค่าใช้จ่ายสำนักงาน</t>
        </is>
      </c>
      <c r="E25" s="6" t="inlineStr">
        <is>
          <t>ALL</t>
        </is>
      </c>
      <c r="F25" s="10" t="n">
        <v>0</v>
      </c>
      <c r="G25" s="10" t="n">
        <v>95</v>
      </c>
      <c r="H25" s="10" t="n">
        <v>11309042.76</v>
      </c>
      <c r="I25" s="6" t="inlineStr">
        <is>
          <t>โอน</t>
        </is>
      </c>
    </row>
    <row r="26">
      <c r="A26" s="6" t="inlineStr">
        <is>
          <t>2568-10-11</t>
        </is>
      </c>
      <c r="B26" s="6" t="inlineStr">
        <is>
          <t>V-256810-0019</t>
        </is>
      </c>
      <c r="C26" s="6" t="inlineStr">
        <is>
          <t>นาย รชานนท์ ด้วงคงสุก — ค่าทำบัญชี</t>
        </is>
      </c>
      <c r="D26" s="6" t="inlineStr">
        <is>
          <t>ค่าใช้จ่ายสำนักงาน</t>
        </is>
      </c>
      <c r="E26" s="6" t="inlineStr">
        <is>
          <t>ALL</t>
        </is>
      </c>
      <c r="F26" s="10" t="n">
        <v>0</v>
      </c>
      <c r="G26" s="10" t="n">
        <v>4000</v>
      </c>
      <c r="H26" s="10" t="n">
        <v>11305042.76</v>
      </c>
      <c r="I26" s="6" t="inlineStr">
        <is>
          <t>โอน</t>
        </is>
      </c>
    </row>
    <row r="27">
      <c r="A27" s="6" t="inlineStr">
        <is>
          <t>2568-10-11</t>
        </is>
      </c>
      <c r="B27" s="6" t="inlineStr">
        <is>
          <t>V-256810-0020</t>
        </is>
      </c>
      <c r="C27" s="6" t="inlineStr">
        <is>
          <t>Revenue Department — ภาษี</t>
        </is>
      </c>
      <c r="D27" s="6" t="inlineStr">
        <is>
          <t>ค่าใช้จ่ายสำนักงาน</t>
        </is>
      </c>
      <c r="E27" s="6" t="inlineStr">
        <is>
          <t>ALL</t>
        </is>
      </c>
      <c r="F27" s="10" t="n">
        <v>0</v>
      </c>
      <c r="G27" s="10" t="n">
        <v>586.88</v>
      </c>
      <c r="H27" s="10" t="n">
        <v>11304455.88</v>
      </c>
      <c r="I27" s="6" t="inlineStr">
        <is>
          <t>โอน</t>
        </is>
      </c>
    </row>
    <row r="28">
      <c r="A28" s="6" t="inlineStr">
        <is>
          <t>2568-10-11</t>
        </is>
      </c>
      <c r="B28" s="6" t="inlineStr">
        <is>
          <t>V-256810-0021</t>
        </is>
      </c>
      <c r="C28" s="6" t="inlineStr">
        <is>
          <t>บริษัท เอส เอส เซอร์วิส ก็อปปี้เออร์ จำกัด — ค่าเครื่องปริ้นรายเดือน</t>
        </is>
      </c>
      <c r="D28" s="6" t="inlineStr">
        <is>
          <t>ค่าใช้จ่ายสำนักงาน</t>
        </is>
      </c>
      <c r="E28" s="6" t="inlineStr">
        <is>
          <t>ALL</t>
        </is>
      </c>
      <c r="F28" s="10" t="n">
        <v>0</v>
      </c>
      <c r="G28" s="10" t="n">
        <v>2362.03</v>
      </c>
      <c r="H28" s="10" t="n">
        <v>11302093.85</v>
      </c>
      <c r="I28" s="6" t="inlineStr">
        <is>
          <t>โอน</t>
        </is>
      </c>
    </row>
    <row r="29">
      <c r="A29" s="6" t="inlineStr">
        <is>
          <t>2568-10-13</t>
        </is>
      </c>
      <c r="B29" s="6" t="inlineStr">
        <is>
          <t>V-256810-0022</t>
        </is>
      </c>
      <c r="C29" s="6" t="inlineStr">
        <is>
          <t>นาง กมลชนก สิมมาลา — ทำความสะอาดบ้านตย. [เงินสดย่อยกมลชนก ไม่มีใบเสร็จ]</t>
        </is>
      </c>
      <c r="D29" s="6" t="inlineStr">
        <is>
          <t>ค่าใช้จ่ายสำนักงาน</t>
        </is>
      </c>
      <c r="E29" s="6" t="inlineStr">
        <is>
          <t>ALL</t>
        </is>
      </c>
      <c r="F29" s="10" t="n">
        <v>0</v>
      </c>
      <c r="G29" s="10" t="n">
        <v>500</v>
      </c>
      <c r="H29" s="10" t="n">
        <v>11301593.85</v>
      </c>
      <c r="I29" s="6" t="inlineStr">
        <is>
          <t>เงินสด</t>
        </is>
      </c>
    </row>
    <row r="30">
      <c r="A30" s="6" t="inlineStr">
        <is>
          <t>2568-10-14</t>
        </is>
      </c>
      <c r="B30" s="6" t="inlineStr">
        <is>
          <t>V-256810-0023</t>
        </is>
      </c>
      <c r="C30" s="6" t="inlineStr">
        <is>
          <t>ADS — ADSตุลาคม [เงินสดย่อยกมลชนก]</t>
        </is>
      </c>
      <c r="D30" s="6" t="inlineStr">
        <is>
          <t>ค่าโฆษณา-การตลาด</t>
        </is>
      </c>
      <c r="E30" s="6" t="inlineStr">
        <is>
          <t>ALL</t>
        </is>
      </c>
      <c r="F30" s="10" t="n">
        <v>0</v>
      </c>
      <c r="G30" s="10" t="n">
        <v>3000</v>
      </c>
      <c r="H30" s="10" t="n">
        <v>11298593.85</v>
      </c>
      <c r="I30" s="6" t="inlineStr">
        <is>
          <t>โอน</t>
        </is>
      </c>
    </row>
    <row r="31">
      <c r="A31" s="6" t="inlineStr">
        <is>
          <t>2568-10-15</t>
        </is>
      </c>
      <c r="B31" s="6" t="inlineStr">
        <is>
          <t>V-256810-0024</t>
        </is>
      </c>
      <c r="C31" s="6" t="inlineStr">
        <is>
          <t>บิว กสิกร 0191259548 — เข็มแปลง 5-8 [เงินสดย่อยบรรลือศักดิ์]</t>
        </is>
      </c>
      <c r="D31" s="6" t="inlineStr">
        <is>
          <t>ต้นทุนขาย-วัสดุก่อสร้าง</t>
        </is>
      </c>
      <c r="E31" s="6" t="inlineStr">
        <is>
          <t>ALL</t>
        </is>
      </c>
      <c r="F31" s="10" t="n">
        <v>0</v>
      </c>
      <c r="G31" s="10" t="n">
        <v>5000</v>
      </c>
      <c r="H31" s="10" t="n">
        <v>11293593.85</v>
      </c>
      <c r="I31" s="6" t="inlineStr">
        <is>
          <t>เงินสด</t>
        </is>
      </c>
    </row>
    <row r="32">
      <c r="A32" s="6" t="inlineStr">
        <is>
          <t>2568-10-18</t>
        </is>
      </c>
      <c r="B32" s="6" t="inlineStr">
        <is>
          <t>V-256810-0025</t>
        </is>
      </c>
      <c r="C32" s="6" t="inlineStr">
        <is>
          <t>โกโอล์เซลล์ — ของใช้สำนักงาน [เงินสดย่อยกมลชนก]</t>
        </is>
      </c>
      <c r="D32" s="6" t="inlineStr">
        <is>
          <t>ค่าใช้จ่ายสำนักงาน</t>
        </is>
      </c>
      <c r="E32" s="6" t="inlineStr">
        <is>
          <t>ALL</t>
        </is>
      </c>
      <c r="F32" s="10" t="n">
        <v>0</v>
      </c>
      <c r="G32" s="10" t="n">
        <v>396</v>
      </c>
      <c r="H32" s="10" t="n">
        <v>11293197.85</v>
      </c>
      <c r="I32" s="6" t="inlineStr">
        <is>
          <t>เงินสด</t>
        </is>
      </c>
    </row>
    <row r="33">
      <c r="A33" s="6" t="inlineStr">
        <is>
          <t>2568-10-20</t>
        </is>
      </c>
      <c r="B33" s="6" t="inlineStr">
        <is>
          <t>V-256810-0026</t>
        </is>
      </c>
      <c r="C33" s="6" t="inlineStr">
        <is>
          <t>shopee — ตกแต่งสำนักงานฮัลโลวีน [เงินสดย่อยกมลชนก]</t>
        </is>
      </c>
      <c r="D33" s="6" t="inlineStr">
        <is>
          <t>ค่าใช้จ่ายสำนักงาน</t>
        </is>
      </c>
      <c r="E33" s="6" t="inlineStr">
        <is>
          <t>ALL</t>
        </is>
      </c>
      <c r="F33" s="10" t="n">
        <v>0</v>
      </c>
      <c r="G33" s="10" t="n">
        <v>366</v>
      </c>
      <c r="H33" s="10" t="n">
        <v>11292831.85</v>
      </c>
      <c r="I33" s="6" t="inlineStr">
        <is>
          <t>โอน</t>
        </is>
      </c>
    </row>
    <row r="34">
      <c r="A34" s="6" t="inlineStr">
        <is>
          <t>2568-10-20</t>
        </is>
      </c>
      <c r="B34" s="6" t="inlineStr">
        <is>
          <t>V-256810-0027</t>
        </is>
      </c>
      <c r="C34" s="6" t="inlineStr">
        <is>
          <t>บริษัท กังสดาล ค้าไม้ จำกัด — อิฐบล็อค 7 ซม. [เงินสดย่อยบรรลือศักดิ์ บิลเงินสด]</t>
        </is>
      </c>
      <c r="D34" s="6" t="inlineStr">
        <is>
          <t>ต้นทุนขาย-วัสดุก่อสร้าง</t>
        </is>
      </c>
      <c r="E34" s="6" t="inlineStr">
        <is>
          <t>ALL</t>
        </is>
      </c>
      <c r="F34" s="10" t="n">
        <v>0</v>
      </c>
      <c r="G34" s="10" t="n">
        <v>4012.5</v>
      </c>
      <c r="H34" s="10" t="n">
        <v>11288819.35</v>
      </c>
      <c r="I34" s="6" t="inlineStr">
        <is>
          <t>เงินสด</t>
        </is>
      </c>
    </row>
    <row r="35">
      <c r="A35" s="6" t="inlineStr">
        <is>
          <t>2568-10-21</t>
        </is>
      </c>
      <c r="B35" s="6" t="inlineStr">
        <is>
          <t>V-256810-0028</t>
        </is>
      </c>
      <c r="C35" s="6" t="inlineStr">
        <is>
          <t>ศรีพโลค้าวัสดุ — ทาง500gg [เงินสดย่อยบรรลือศักดิ์ บิลเงินสด]</t>
        </is>
      </c>
      <c r="D35" s="6" t="inlineStr">
        <is>
          <t>ต้นทุนขาย-วัสดุก่อสร้าง</t>
        </is>
      </c>
      <c r="E35" s="6" t="inlineStr">
        <is>
          <t>ALL</t>
        </is>
      </c>
      <c r="F35" s="10" t="n">
        <v>0</v>
      </c>
      <c r="G35" s="10" t="n">
        <v>620</v>
      </c>
      <c r="H35" s="10" t="n">
        <v>11288199.35</v>
      </c>
      <c r="I35" s="6" t="inlineStr">
        <is>
          <t>เงินสด</t>
        </is>
      </c>
    </row>
    <row r="36">
      <c r="A36" s="6" t="inlineStr">
        <is>
          <t>2568-10-21</t>
        </is>
      </c>
      <c r="B36" s="6" t="inlineStr">
        <is>
          <t>V-256810-0029</t>
        </is>
      </c>
      <c r="C36" s="6" t="inlineStr">
        <is>
          <t>ADS — ADSตุลาคม [เงินสดย่อยกมลชนก]</t>
        </is>
      </c>
      <c r="D36" s="6" t="inlineStr">
        <is>
          <t>ค่าโฆษณา-การตลาด</t>
        </is>
      </c>
      <c r="E36" s="6" t="inlineStr">
        <is>
          <t>ALL</t>
        </is>
      </c>
      <c r="F36" s="10" t="n">
        <v>0</v>
      </c>
      <c r="G36" s="10" t="n">
        <v>3000</v>
      </c>
      <c r="H36" s="10" t="n">
        <v>11285199.35</v>
      </c>
      <c r="I36" s="6" t="inlineStr">
        <is>
          <t>โอน</t>
        </is>
      </c>
    </row>
    <row r="37">
      <c r="A37" s="6" t="inlineStr">
        <is>
          <t>2568-10-21</t>
        </is>
      </c>
      <c r="B37" s="6" t="inlineStr">
        <is>
          <t>V-256810-0030</t>
        </is>
      </c>
      <c r="C37" s="6" t="inlineStr">
        <is>
          <t>Bluepay — ปากกาไอแพด [เงินสดย่อยกมลชนก]</t>
        </is>
      </c>
      <c r="D37" s="6" t="inlineStr">
        <is>
          <t>ค่าโฆษณา-การตลาด</t>
        </is>
      </c>
      <c r="E37" s="6" t="inlineStr">
        <is>
          <t>ALL</t>
        </is>
      </c>
      <c r="F37" s="10" t="n">
        <v>0</v>
      </c>
      <c r="G37" s="10" t="n">
        <v>488</v>
      </c>
      <c r="H37" s="10" t="n">
        <v>11284711.35</v>
      </c>
      <c r="I37" s="6" t="inlineStr">
        <is>
          <t>โอน</t>
        </is>
      </c>
    </row>
    <row r="38">
      <c r="A38" s="6" t="inlineStr">
        <is>
          <t>2568-10-21</t>
        </is>
      </c>
      <c r="B38" s="6" t="inlineStr">
        <is>
          <t>V-256810-0031</t>
        </is>
      </c>
      <c r="C38" s="6" t="inlineStr">
        <is>
          <t>นาย สามารถ — ดอกไม้ไหว้พระ [เงินสดย่อยกมลชนก]</t>
        </is>
      </c>
      <c r="D38" s="6" t="inlineStr">
        <is>
          <t>ค่าใช้จ่ายอื่น</t>
        </is>
      </c>
      <c r="E38" s="6" t="inlineStr">
        <is>
          <t>ALL</t>
        </is>
      </c>
      <c r="F38" s="10" t="n">
        <v>0</v>
      </c>
      <c r="G38" s="10" t="n">
        <v>90</v>
      </c>
      <c r="H38" s="10" t="n">
        <v>11284621.35</v>
      </c>
      <c r="I38" s="6" t="inlineStr">
        <is>
          <t>โอน</t>
        </is>
      </c>
    </row>
    <row r="39">
      <c r="A39" s="6" t="inlineStr">
        <is>
          <t>2568-10-21</t>
        </is>
      </c>
      <c r="B39" s="6" t="inlineStr">
        <is>
          <t>V-256810-0032</t>
        </is>
      </c>
      <c r="C39" s="6" t="inlineStr">
        <is>
          <t>โลตัส พลัสมอล์ — จานชามสำนักงาน [เงินสดย่อยกมลชนก]</t>
        </is>
      </c>
      <c r="D39" s="6" t="inlineStr">
        <is>
          <t>ค่าใช้จ่ายสำนักงาน</t>
        </is>
      </c>
      <c r="E39" s="6" t="inlineStr">
        <is>
          <t>ALL</t>
        </is>
      </c>
      <c r="F39" s="10" t="n">
        <v>0</v>
      </c>
      <c r="G39" s="10" t="n">
        <v>395</v>
      </c>
      <c r="H39" s="10" t="n">
        <v>11284226.35</v>
      </c>
      <c r="I39" s="6" t="inlineStr">
        <is>
          <t>โอน</t>
        </is>
      </c>
    </row>
    <row r="40">
      <c r="A40" s="6" t="inlineStr">
        <is>
          <t>2568-10-21</t>
        </is>
      </c>
      <c r="B40" s="6" t="inlineStr">
        <is>
          <t>V-256810-0033</t>
        </is>
      </c>
      <c r="C40" s="6" t="inlineStr">
        <is>
          <t>shopee — ตกแต่งสำนักงานฮัลโลวีน [เงินสดย่อยกมลชนก]</t>
        </is>
      </c>
      <c r="D40" s="6" t="inlineStr">
        <is>
          <t>ค่าใช้จ่ายสำนักงาน</t>
        </is>
      </c>
      <c r="E40" s="6" t="inlineStr">
        <is>
          <t>ALL</t>
        </is>
      </c>
      <c r="F40" s="10" t="n">
        <v>0</v>
      </c>
      <c r="G40" s="10" t="n">
        <v>125</v>
      </c>
      <c r="H40" s="10" t="n">
        <v>11284101.35</v>
      </c>
      <c r="I40" s="6" t="inlineStr">
        <is>
          <t>โอน</t>
        </is>
      </c>
    </row>
    <row r="41">
      <c r="A41" s="6" t="inlineStr">
        <is>
          <t>2568-10-23</t>
        </is>
      </c>
      <c r="B41" s="6" t="inlineStr">
        <is>
          <t>V-256810-0034</t>
        </is>
      </c>
      <c r="C41" s="6" t="inlineStr">
        <is>
          <t>นางสาวกมลชนก สิมมาลา — ค่าใบอนุญาติก่อสร้าง [เงินสดย่อยกมลชนก]</t>
        </is>
      </c>
      <c r="D41" s="6" t="inlineStr">
        <is>
          <t>ค่าใช้จ่ายอื่น</t>
        </is>
      </c>
      <c r="E41" s="6" t="inlineStr">
        <is>
          <t>ALL</t>
        </is>
      </c>
      <c r="F41" s="10" t="n">
        <v>0</v>
      </c>
      <c r="G41" s="10" t="n">
        <v>20000</v>
      </c>
      <c r="H41" s="10" t="n">
        <v>11264101.35</v>
      </c>
      <c r="I41" s="6" t="inlineStr">
        <is>
          <t>โอน</t>
        </is>
      </c>
    </row>
    <row r="42">
      <c r="A42" s="6" t="inlineStr">
        <is>
          <t>2568-10-23</t>
        </is>
      </c>
      <c r="B42" s="6" t="inlineStr">
        <is>
          <t>V-256810-0035</t>
        </is>
      </c>
      <c r="C42" s="6" t="inlineStr">
        <is>
          <t>นางสาวกมลชนก สิมมาลา — ค่าเบาะหัวเตียง [เงินสดย่อยกมลชนก]</t>
        </is>
      </c>
      <c r="D42" s="6" t="inlineStr">
        <is>
          <t>ต้นทุนขาย-งานตกแต่ง</t>
        </is>
      </c>
      <c r="E42" s="6" t="inlineStr">
        <is>
          <t>ALL</t>
        </is>
      </c>
      <c r="F42" s="10" t="n">
        <v>0</v>
      </c>
      <c r="G42" s="10" t="n">
        <v>10000</v>
      </c>
      <c r="H42" s="10" t="n">
        <v>11254101.35</v>
      </c>
      <c r="I42" s="6" t="inlineStr">
        <is>
          <t>โอน</t>
        </is>
      </c>
    </row>
    <row r="43">
      <c r="A43" s="6" t="inlineStr">
        <is>
          <t>2568-10-23</t>
        </is>
      </c>
      <c r="B43" s="6" t="inlineStr">
        <is>
          <t>V-256810-0036</t>
        </is>
      </c>
      <c r="C43" s="6" t="inlineStr">
        <is>
          <t>การปะปาส่วนภูมิภาค — ค่าน้ำเดือนตุลาคม</t>
        </is>
      </c>
      <c r="D43" s="6" t="inlineStr">
        <is>
          <t>ค่าน้ำ-ไฟ-โทรศัพท์</t>
        </is>
      </c>
      <c r="E43" s="6" t="inlineStr">
        <is>
          <t>ALL</t>
        </is>
      </c>
      <c r="F43" s="10" t="n">
        <v>0</v>
      </c>
      <c r="G43" s="10" t="n">
        <v>7722.73</v>
      </c>
      <c r="H43" s="10" t="n">
        <v>11246378.62</v>
      </c>
      <c r="I43" s="6" t="inlineStr">
        <is>
          <t>โอน</t>
        </is>
      </c>
    </row>
    <row r="44">
      <c r="A44" s="6" t="inlineStr">
        <is>
          <t>2568-10-23</t>
        </is>
      </c>
      <c r="B44" s="6" t="inlineStr">
        <is>
          <t>V-256810-0037</t>
        </is>
      </c>
      <c r="C44" s="6" t="inlineStr">
        <is>
          <t>การปะปาส่วนภูมิภาค — ค่าน้ำเดือนตุลาคม</t>
        </is>
      </c>
      <c r="D44" s="6" t="inlineStr">
        <is>
          <t>ค่าน้ำ-ไฟ-โทรศัพท์</t>
        </is>
      </c>
      <c r="E44" s="6" t="inlineStr">
        <is>
          <t>ALL</t>
        </is>
      </c>
      <c r="F44" s="10" t="n">
        <v>0</v>
      </c>
      <c r="G44" s="10" t="n">
        <v>192.6</v>
      </c>
      <c r="H44" s="10" t="n">
        <v>11246186.02</v>
      </c>
      <c r="I44" s="6" t="inlineStr">
        <is>
          <t>โอน</t>
        </is>
      </c>
    </row>
    <row r="45">
      <c r="A45" s="6" t="inlineStr">
        <is>
          <t>2568-10-26</t>
        </is>
      </c>
      <c r="B45" s="6" t="inlineStr">
        <is>
          <t>V-256810-0038</t>
        </is>
      </c>
      <c r="C45" s="6" t="inlineStr">
        <is>
          <t>ยิงแอด — ADSตุลาคม [เงินสดย่อยกมลชนก]</t>
        </is>
      </c>
      <c r="D45" s="6" t="inlineStr">
        <is>
          <t>ค่าโฆษณา-การตลาด</t>
        </is>
      </c>
      <c r="E45" s="6" t="inlineStr">
        <is>
          <t>ALL</t>
        </is>
      </c>
      <c r="F45" s="10" t="n">
        <v>0</v>
      </c>
      <c r="G45" s="10" t="n">
        <v>1000</v>
      </c>
      <c r="H45" s="10" t="n">
        <v>11245186.02</v>
      </c>
      <c r="I45" s="6" t="inlineStr">
        <is>
          <t>โอน</t>
        </is>
      </c>
    </row>
    <row r="46">
      <c r="A46" s="6" t="inlineStr">
        <is>
          <t>2568-10-27</t>
        </is>
      </c>
      <c r="B46" s="6" t="inlineStr">
        <is>
          <t>V-256810-0039</t>
        </is>
      </c>
      <c r="C46" s="6" t="inlineStr">
        <is>
          <t>บริษัท ดับเบิ้ลยู พีเอ็นจิเนียริ่ง จำกัด — งานประปา</t>
        </is>
      </c>
      <c r="D46" s="6" t="inlineStr">
        <is>
          <t>ค่าน้ำ-ไฟ-โทรศัพท์</t>
        </is>
      </c>
      <c r="E46" s="6" t="inlineStr">
        <is>
          <t>ALL</t>
        </is>
      </c>
      <c r="F46" s="10" t="n">
        <v>0</v>
      </c>
      <c r="G46" s="10" t="n">
        <v>2000000</v>
      </c>
      <c r="H46" s="10" t="n">
        <v>9245186.020000001</v>
      </c>
      <c r="I46" s="6" t="inlineStr">
        <is>
          <t>เช็ค</t>
        </is>
      </c>
    </row>
    <row r="47">
      <c r="A47" s="6" t="inlineStr">
        <is>
          <t>2568-10-27</t>
        </is>
      </c>
      <c r="B47" s="6" t="inlineStr">
        <is>
          <t>V-256810-0040</t>
        </is>
      </c>
      <c r="C47" s="6" t="inlineStr">
        <is>
          <t>สัญญา แซ่โง้ว — มัดจำงานบิ้วช่างญา [เงินสดย่อยกมลชนก]</t>
        </is>
      </c>
      <c r="D47" s="6" t="inlineStr">
        <is>
          <t>ค่าใช้จ่ายสำนักงาน</t>
        </is>
      </c>
      <c r="E47" s="6" t="inlineStr">
        <is>
          <t>ALL</t>
        </is>
      </c>
      <c r="F47" s="10" t="n">
        <v>0</v>
      </c>
      <c r="G47" s="10" t="n">
        <v>5000</v>
      </c>
      <c r="H47" s="10" t="n">
        <v>9240186.020000001</v>
      </c>
      <c r="I47" s="6" t="inlineStr">
        <is>
          <t>โอน</t>
        </is>
      </c>
    </row>
    <row r="48">
      <c r="A48" s="6" t="inlineStr">
        <is>
          <t>2568-10-27</t>
        </is>
      </c>
      <c r="B48" s="6" t="inlineStr">
        <is>
          <t>V-256810-0041</t>
        </is>
      </c>
      <c r="C48" s="6" t="inlineStr">
        <is>
          <t>ศรีพโลค้าวัสดุก่อสร้าง — กาว500กรัม [เงินสดย่อย บรรลือศักดิ์]</t>
        </is>
      </c>
      <c r="D48" s="6" t="inlineStr">
        <is>
          <t>ต้นทุนขาย-วัสดุก่อสร้าง</t>
        </is>
      </c>
      <c r="E48" s="6" t="inlineStr">
        <is>
          <t>ALL</t>
        </is>
      </c>
      <c r="F48" s="10" t="n">
        <v>0</v>
      </c>
      <c r="G48" s="10" t="n">
        <v>310</v>
      </c>
      <c r="H48" s="10" t="n">
        <v>9239876.020000001</v>
      </c>
      <c r="I48" s="6" t="inlineStr">
        <is>
          <t>เงินสด</t>
        </is>
      </c>
    </row>
    <row r="49">
      <c r="A49" s="6" t="inlineStr">
        <is>
          <t>2568-10-28</t>
        </is>
      </c>
      <c r="B49" s="6" t="inlineStr">
        <is>
          <t>V-256810-0042</t>
        </is>
      </c>
      <c r="C49" s="6" t="inlineStr">
        <is>
          <t>ศรีพโลค้าวัสดุก่อสร้าง — กาว500กรัม [เงินสดย่อย บรรลือศักดิ์]</t>
        </is>
      </c>
      <c r="D49" s="6" t="inlineStr">
        <is>
          <t>ต้นทุนขาย-วัสดุก่อสร้าง</t>
        </is>
      </c>
      <c r="E49" s="6" t="inlineStr">
        <is>
          <t>ALL</t>
        </is>
      </c>
      <c r="F49" s="10" t="n">
        <v>0</v>
      </c>
      <c r="G49" s="10" t="n">
        <v>310</v>
      </c>
      <c r="H49" s="10" t="n">
        <v>9239566.020000001</v>
      </c>
      <c r="I49" s="6" t="inlineStr">
        <is>
          <t>เงินสด</t>
        </is>
      </c>
    </row>
    <row r="50">
      <c r="A50" s="6" t="inlineStr">
        <is>
          <t>2568-10-28</t>
        </is>
      </c>
      <c r="B50" s="6" t="inlineStr">
        <is>
          <t>V-256810-0043</t>
        </is>
      </c>
      <c r="C50" s="6" t="inlineStr">
        <is>
          <t>ศรีพโลค้าวัสดุก่อสร้าง — ตาข่าย สกรู [เงินสดย่อย บรรลือศักดิ์]</t>
        </is>
      </c>
      <c r="D50" s="6" t="inlineStr">
        <is>
          <t>ต้นทุนขาย-วัสดุก่อสร้าง</t>
        </is>
      </c>
      <c r="E50" s="6" t="inlineStr">
        <is>
          <t>ALL</t>
        </is>
      </c>
      <c r="F50" s="10" t="n">
        <v>0</v>
      </c>
      <c r="G50" s="10" t="n">
        <v>1470</v>
      </c>
      <c r="H50" s="10" t="n">
        <v>9238096.020000001</v>
      </c>
      <c r="I50" s="6" t="inlineStr">
        <is>
          <t>เงินสด</t>
        </is>
      </c>
    </row>
    <row r="51">
      <c r="A51" s="6" t="inlineStr">
        <is>
          <t>2568-10-29</t>
        </is>
      </c>
      <c r="B51" s="6" t="inlineStr">
        <is>
          <t>V-256810-0044</t>
        </is>
      </c>
      <c r="C51" s="6" t="inlineStr">
        <is>
          <t>ศรีพโลค้าวัสดุก่อสร้าง — กาว 250 กรัม ข้องอ [เงินสดย่อย บรรลือศักดิ์]</t>
        </is>
      </c>
      <c r="D51" s="6" t="inlineStr">
        <is>
          <t>ต้นทุนขาย-วัสดุก่อสร้าง</t>
        </is>
      </c>
      <c r="E51" s="6" t="inlineStr">
        <is>
          <t>ALL</t>
        </is>
      </c>
      <c r="F51" s="10" t="n">
        <v>0</v>
      </c>
      <c r="G51" s="10" t="n">
        <v>586</v>
      </c>
      <c r="H51" s="10" t="n">
        <v>9237510.020000001</v>
      </c>
      <c r="I51" s="6" t="inlineStr">
        <is>
          <t>เงินสด</t>
        </is>
      </c>
    </row>
    <row r="52">
      <c r="A52" s="6" t="inlineStr">
        <is>
          <t>2568-10-29</t>
        </is>
      </c>
      <c r="B52" s="6" t="inlineStr">
        <is>
          <t>V-256810-0045</t>
        </is>
      </c>
      <c r="C52" s="6" t="inlineStr">
        <is>
          <t>ชุนหลีแบตเตอรี่ — อัดไฟ [เงินสดย่อย นายโกวิท]</t>
        </is>
      </c>
      <c r="D52" s="6" t="inlineStr">
        <is>
          <t>ต้นทุนขาย-วัสดุก่อสร้าง</t>
        </is>
      </c>
      <c r="E52" s="6" t="inlineStr">
        <is>
          <t>ALL</t>
        </is>
      </c>
      <c r="F52" s="10" t="n">
        <v>0</v>
      </c>
      <c r="G52" s="10" t="n">
        <v>160</v>
      </c>
      <c r="H52" s="10" t="n">
        <v>9237350.020000001</v>
      </c>
      <c r="I52" s="6" t="inlineStr">
        <is>
          <t>เงินสด</t>
        </is>
      </c>
    </row>
    <row r="53">
      <c r="A53" s="6" t="inlineStr">
        <is>
          <t>2568-10-29</t>
        </is>
      </c>
      <c r="B53" s="6" t="inlineStr">
        <is>
          <t>V-256810-0046</t>
        </is>
      </c>
      <c r="C53" s="6" t="inlineStr">
        <is>
          <t>PT — เติมน้ำมัน [เงินสดย่อย นายโกวิท]</t>
        </is>
      </c>
      <c r="D53" s="6" t="inlineStr">
        <is>
          <t>ต้นทุนขาย-วัสดุก่อสร้าง</t>
        </is>
      </c>
      <c r="E53" s="6" t="inlineStr">
        <is>
          <t>ALL</t>
        </is>
      </c>
      <c r="F53" s="10" t="n">
        <v>0</v>
      </c>
      <c r="G53" s="10" t="n">
        <v>2000</v>
      </c>
      <c r="H53" s="10" t="n">
        <v>9235350.020000001</v>
      </c>
      <c r="I53" s="6" t="inlineStr">
        <is>
          <t>โอน</t>
        </is>
      </c>
    </row>
    <row r="54">
      <c r="A54" s="6" t="inlineStr">
        <is>
          <t>2568-10-31</t>
        </is>
      </c>
      <c r="B54" s="6" t="inlineStr">
        <is>
          <t>V-256810-0047</t>
        </is>
      </c>
      <c r="C54" s="6" t="inlineStr">
        <is>
          <t>หจก.พี.เจ.ฮาร์ดแวร์ (2008) — วัสดุก่อสร้าง</t>
        </is>
      </c>
      <c r="D54" s="6" t="inlineStr">
        <is>
          <t>ต้นทุนขาย-วัสดุก่อสร้าง</t>
        </is>
      </c>
      <c r="E54" s="6" t="inlineStr">
        <is>
          <t>ALL</t>
        </is>
      </c>
      <c r="F54" s="10" t="n">
        <v>0</v>
      </c>
      <c r="G54" s="10" t="n">
        <v>54499</v>
      </c>
      <c r="H54" s="10" t="n">
        <v>9180851.020000001</v>
      </c>
      <c r="I54" s="6" t="inlineStr">
        <is>
          <t>เช็ค</t>
        </is>
      </c>
    </row>
    <row r="55">
      <c r="A55" s="6" t="inlineStr">
        <is>
          <t>2568-10-31</t>
        </is>
      </c>
      <c r="B55" s="6" t="inlineStr">
        <is>
          <t>V-256810-0048</t>
        </is>
      </c>
      <c r="C55" s="6" t="inlineStr">
        <is>
          <t>หจก.พี.เจ.ฮาร์ดแวร์ (2008) — วัสดุก่อสร้าง</t>
        </is>
      </c>
      <c r="D55" s="6" t="inlineStr">
        <is>
          <t>ต้นทุนขาย-วัสดุก่อสร้าง</t>
        </is>
      </c>
      <c r="E55" s="6" t="inlineStr">
        <is>
          <t>ALL</t>
        </is>
      </c>
      <c r="F55" s="10" t="n">
        <v>0</v>
      </c>
      <c r="G55" s="10" t="n">
        <v>123549</v>
      </c>
      <c r="H55" s="10" t="n">
        <v>9057302.020000001</v>
      </c>
      <c r="I55" s="6" t="inlineStr">
        <is>
          <t>เช็ค</t>
        </is>
      </c>
    </row>
    <row r="56">
      <c r="A56" s="6" t="inlineStr">
        <is>
          <t>2568-10-31</t>
        </is>
      </c>
      <c r="B56" s="6" t="inlineStr">
        <is>
          <t>V-256810-0049</t>
        </is>
      </c>
      <c r="C56" s="6" t="inlineStr">
        <is>
          <t>นายสาธิต เนื้อไม้ — ประเมินSCB</t>
        </is>
      </c>
      <c r="D56" s="6" t="inlineStr">
        <is>
          <t>ค่าใช้จ่ายสำนักงาน</t>
        </is>
      </c>
      <c r="E56" s="6" t="inlineStr">
        <is>
          <t>ALL</t>
        </is>
      </c>
      <c r="F56" s="10" t="n">
        <v>0</v>
      </c>
      <c r="G56" s="10" t="n">
        <v>7490</v>
      </c>
      <c r="H56" s="10" t="n">
        <v>9049812.020000001</v>
      </c>
      <c r="I56" s="6" t="inlineStr">
        <is>
          <t>โอน</t>
        </is>
      </c>
    </row>
    <row r="57">
      <c r="A57" s="6" t="inlineStr">
        <is>
          <t>2568-10-31</t>
        </is>
      </c>
      <c r="B57" s="6" t="inlineStr">
        <is>
          <t>V-256810-0050</t>
        </is>
      </c>
      <c r="C57" s="6" t="inlineStr">
        <is>
          <t>นายสาธิต เนื้อไม้ — ค่าน้ำมันประเมิน</t>
        </is>
      </c>
      <c r="D57" s="6" t="inlineStr">
        <is>
          <t>ค่าใช้จ่ายสำนักงาน</t>
        </is>
      </c>
      <c r="E57" s="6" t="inlineStr">
        <is>
          <t>ALL</t>
        </is>
      </c>
      <c r="F57" s="10" t="n">
        <v>0</v>
      </c>
      <c r="G57" s="10" t="n">
        <v>2510</v>
      </c>
      <c r="H57" s="10" t="n">
        <v>9047302.020000001</v>
      </c>
      <c r="I57" s="6" t="inlineStr">
        <is>
          <t>โอน</t>
        </is>
      </c>
    </row>
    <row r="58">
      <c r="A58" s="6" t="inlineStr">
        <is>
          <t>2568-10-31</t>
        </is>
      </c>
      <c r="B58" s="6" t="inlineStr">
        <is>
          <t>V-256810-0051</t>
        </is>
      </c>
      <c r="C58" s="6" t="inlineStr">
        <is>
          <t>ศรีพโลค้าวัสดุก่อสร้าง — ข้องอ90 [เงินสดย่อย บรรลือศักดิ์]</t>
        </is>
      </c>
      <c r="D58" s="6" t="inlineStr">
        <is>
          <t>ต้นทุนขาย-วัสดุก่อสร้าง</t>
        </is>
      </c>
      <c r="E58" s="6" t="inlineStr">
        <is>
          <t>ALL</t>
        </is>
      </c>
      <c r="F58" s="10" t="n">
        <v>0</v>
      </c>
      <c r="G58" s="10" t="n">
        <v>200</v>
      </c>
      <c r="H58" s="10" t="n">
        <v>9047102.020000001</v>
      </c>
      <c r="I58" s="6" t="inlineStr">
        <is>
          <t>เงินสด</t>
        </is>
      </c>
    </row>
    <row r="59">
      <c r="A59" s="6" t="inlineStr">
        <is>
          <t>2568-11-03</t>
        </is>
      </c>
      <c r="B59" s="6" t="inlineStr">
        <is>
          <t>V-256811-0001</t>
        </is>
      </c>
      <c r="C59" s="6" t="inlineStr">
        <is>
          <t>ศรีพโลค้าวัสดุก่อสร้าง — งอ90 [เงินสดย่อย บรรลือศักดิ์]</t>
        </is>
      </c>
      <c r="D59" s="6" t="inlineStr">
        <is>
          <t>ต้นทุนขาย-วัสดุก่อสร้าง</t>
        </is>
      </c>
      <c r="E59" s="6" t="inlineStr">
        <is>
          <t>ALL</t>
        </is>
      </c>
      <c r="F59" s="10" t="n">
        <v>0</v>
      </c>
      <c r="G59" s="10" t="n">
        <v>300</v>
      </c>
      <c r="H59" s="10" t="n">
        <v>9046802.020000001</v>
      </c>
      <c r="I59" s="6" t="inlineStr">
        <is>
          <t>เงินสด</t>
        </is>
      </c>
    </row>
    <row r="60">
      <c r="A60" s="6" t="inlineStr">
        <is>
          <t>2568-11-03</t>
        </is>
      </c>
      <c r="B60" s="6" t="inlineStr">
        <is>
          <t>V-256811-0002</t>
        </is>
      </c>
      <c r="C60" s="6" t="inlineStr">
        <is>
          <t>กรมพัฒนาธุรกิจการค้า — หนังสือรับรองทูบิ้ลด์ [เงินสดย่อย กมลชนก]</t>
        </is>
      </c>
      <c r="D60" s="6" t="inlineStr">
        <is>
          <t>ค่าใช้จ่ายสำนักงาน</t>
        </is>
      </c>
      <c r="E60" s="6" t="inlineStr">
        <is>
          <t>ALL</t>
        </is>
      </c>
      <c r="F60" s="10" t="n">
        <v>0</v>
      </c>
      <c r="G60" s="10" t="n">
        <v>200</v>
      </c>
      <c r="H60" s="10" t="n">
        <v>9046602.020000001</v>
      </c>
      <c r="I60" s="6" t="inlineStr">
        <is>
          <t>โอน</t>
        </is>
      </c>
    </row>
    <row r="61">
      <c r="A61" s="6" t="inlineStr">
        <is>
          <t>2568-11-04</t>
        </is>
      </c>
      <c r="B61" s="6" t="inlineStr">
        <is>
          <t>V-256811-0003</t>
        </is>
      </c>
      <c r="C61" s="6" t="inlineStr">
        <is>
          <t>ศรีพโลค้าวัสดุก่อสร้าง — ตะปู คอนกรีต [เงินสดย่อย บรรลือศักดิ์]</t>
        </is>
      </c>
      <c r="D61" s="6" t="inlineStr">
        <is>
          <t>ต้นทุนขาย-วัสดุก่อสร้าง</t>
        </is>
      </c>
      <c r="E61" s="6" t="inlineStr">
        <is>
          <t>ALL</t>
        </is>
      </c>
      <c r="F61" s="10" t="n">
        <v>0</v>
      </c>
      <c r="G61" s="10" t="n">
        <v>240</v>
      </c>
      <c r="H61" s="10" t="n">
        <v>9046362.020000001</v>
      </c>
      <c r="I61" s="6" t="inlineStr">
        <is>
          <t>เงินสด</t>
        </is>
      </c>
    </row>
    <row r="62">
      <c r="A62" s="6" t="inlineStr">
        <is>
          <t>2568-11-04</t>
        </is>
      </c>
      <c r="B62" s="6" t="inlineStr">
        <is>
          <t>V-256811-0004</t>
        </is>
      </c>
      <c r="C62" s="6" t="inlineStr">
        <is>
          <t>Home Pro — ตาข่ายไฟเบอร์ [เงินสดย่อย บรรลือศักดิ์]</t>
        </is>
      </c>
      <c r="D62" s="6" t="inlineStr">
        <is>
          <t>ต้นทุนขาย-วัสดุก่อสร้าง</t>
        </is>
      </c>
      <c r="E62" s="6" t="inlineStr">
        <is>
          <t>ALL</t>
        </is>
      </c>
      <c r="F62" s="10" t="n">
        <v>0</v>
      </c>
      <c r="G62" s="10" t="n">
        <v>1245</v>
      </c>
      <c r="H62" s="10" t="n">
        <v>9045117.020000001</v>
      </c>
      <c r="I62" s="6" t="inlineStr">
        <is>
          <t>โอน</t>
        </is>
      </c>
    </row>
    <row r="63">
      <c r="A63" s="6" t="inlineStr">
        <is>
          <t>2568-11-05</t>
        </is>
      </c>
      <c r="B63" s="6" t="inlineStr">
        <is>
          <t>V-256811-0005</t>
        </is>
      </c>
      <c r="C63" s="6" t="inlineStr">
        <is>
          <t>PT — เติมน้ำมัน [เงินสดย่อย นายโกวิท]</t>
        </is>
      </c>
      <c r="D63" s="6" t="inlineStr">
        <is>
          <t>ต้นทุนขาย-วัสดุก่อสร้าง</t>
        </is>
      </c>
      <c r="E63" s="6" t="inlineStr">
        <is>
          <t>ALL</t>
        </is>
      </c>
      <c r="F63" s="10" t="n">
        <v>0</v>
      </c>
      <c r="G63" s="10" t="n">
        <v>2000</v>
      </c>
      <c r="H63" s="10" t="n">
        <v>9043117.020000001</v>
      </c>
      <c r="I63" s="6" t="inlineStr">
        <is>
          <t>โอน</t>
        </is>
      </c>
    </row>
    <row r="64">
      <c r="A64" s="6" t="inlineStr">
        <is>
          <t>2568-11-06</t>
        </is>
      </c>
      <c r="B64" s="6" t="inlineStr">
        <is>
          <t>V-256811-0006</t>
        </is>
      </c>
      <c r="C64" s="6" t="inlineStr">
        <is>
          <t>การไฟฟ้าส่วนภูมิภาค — ค่าไฟบ้านตย. [เงินสดย่อย กมลชนก]</t>
        </is>
      </c>
      <c r="D64" s="6" t="inlineStr">
        <is>
          <t>ค่าน้ำ-ไฟ-โทรศัพท์</t>
        </is>
      </c>
      <c r="E64" s="6" t="inlineStr">
        <is>
          <t>ALL</t>
        </is>
      </c>
      <c r="F64" s="10" t="n">
        <v>0</v>
      </c>
      <c r="G64" s="10" t="n">
        <v>163.84</v>
      </c>
      <c r="H64" s="10" t="n">
        <v>9042953.180000002</v>
      </c>
      <c r="I64" s="6" t="inlineStr">
        <is>
          <t>โอน</t>
        </is>
      </c>
    </row>
    <row r="65">
      <c r="A65" s="6" t="inlineStr">
        <is>
          <t>2568-11-06</t>
        </is>
      </c>
      <c r="B65" s="6" t="inlineStr">
        <is>
          <t>V-256811-0007</t>
        </is>
      </c>
      <c r="C65" s="6" t="inlineStr">
        <is>
          <t>การไฟฟ้าส่วนภูมิภาค — ค่าไฟ</t>
        </is>
      </c>
      <c r="D65" s="6" t="inlineStr">
        <is>
          <t>ค่าน้ำ-ไฟ-โทรศัพท์</t>
        </is>
      </c>
      <c r="E65" s="6" t="inlineStr">
        <is>
          <t>ALL</t>
        </is>
      </c>
      <c r="F65" s="10" t="n">
        <v>0</v>
      </c>
      <c r="G65" s="10" t="n">
        <v>2996.2</v>
      </c>
      <c r="H65" s="10" t="n">
        <v>9039956.980000002</v>
      </c>
      <c r="I65" s="6" t="inlineStr">
        <is>
          <t>โอน</t>
        </is>
      </c>
    </row>
    <row r="66">
      <c r="A66" s="6" t="inlineStr">
        <is>
          <t>2568-11-06</t>
        </is>
      </c>
      <c r="B66" s="6" t="inlineStr">
        <is>
          <t>V-256811-0008</t>
        </is>
      </c>
      <c r="C66" s="6" t="inlineStr">
        <is>
          <t>การไฟฟ้าส่วนภูมิภาค — ค่าไฟ</t>
        </is>
      </c>
      <c r="D66" s="6" t="inlineStr">
        <is>
          <t>ค่าน้ำ-ไฟ-โทรศัพท์</t>
        </is>
      </c>
      <c r="E66" s="6" t="inlineStr">
        <is>
          <t>ALL</t>
        </is>
      </c>
      <c r="F66" s="10" t="n">
        <v>0</v>
      </c>
      <c r="G66" s="10" t="n">
        <v>8328.6</v>
      </c>
      <c r="H66" s="10" t="n">
        <v>9031628.380000003</v>
      </c>
      <c r="I66" s="6" t="inlineStr">
        <is>
          <t>โอน</t>
        </is>
      </c>
    </row>
    <row r="67">
      <c r="A67" s="6" t="inlineStr">
        <is>
          <t>2568-11-06</t>
        </is>
      </c>
      <c r="B67" s="6" t="inlineStr">
        <is>
          <t>V-256811-0009</t>
        </is>
      </c>
      <c r="C67" s="6" t="inlineStr">
        <is>
          <t>การไฟฟ้าส่วนภูมิภาค — ค่าไฟ</t>
        </is>
      </c>
      <c r="D67" s="6" t="inlineStr">
        <is>
          <t>ค่าน้ำ-ไฟ-โทรศัพท์</t>
        </is>
      </c>
      <c r="E67" s="6" t="inlineStr">
        <is>
          <t>ALL</t>
        </is>
      </c>
      <c r="F67" s="10" t="n">
        <v>0</v>
      </c>
      <c r="G67" s="10" t="n">
        <v>10327.8</v>
      </c>
      <c r="H67" s="10" t="n">
        <v>9021300.580000002</v>
      </c>
      <c r="I67" s="6" t="inlineStr">
        <is>
          <t>โอน</t>
        </is>
      </c>
    </row>
    <row r="68">
      <c r="A68" s="6" t="inlineStr">
        <is>
          <t>2568-11-06</t>
        </is>
      </c>
      <c r="B68" s="6" t="inlineStr">
        <is>
          <t>V-256811-0010</t>
        </is>
      </c>
      <c r="C68" s="6" t="inlineStr">
        <is>
          <t>ณัฐชยา อลูมิเนียม — หน้าต่างอลูมิเนียม</t>
        </is>
      </c>
      <c r="D68" s="6" t="inlineStr">
        <is>
          <t>ต้นทุนขาย-วัสดุก่อสร้าง</t>
        </is>
      </c>
      <c r="E68" s="6" t="inlineStr">
        <is>
          <t>ALL</t>
        </is>
      </c>
      <c r="F68" s="10" t="n">
        <v>0</v>
      </c>
      <c r="G68" s="10" t="n">
        <v>30976</v>
      </c>
      <c r="H68" s="10" t="n">
        <v>8990324.580000002</v>
      </c>
      <c r="I68" s="6" t="inlineStr">
        <is>
          <t>โอน</t>
        </is>
      </c>
    </row>
    <row r="69">
      <c r="A69" s="6" t="inlineStr">
        <is>
          <t>2568-11-06</t>
        </is>
      </c>
      <c r="B69" s="6" t="inlineStr">
        <is>
          <t>V-256811-0011</t>
        </is>
      </c>
      <c r="C69" s="6" t="inlineStr">
        <is>
          <t>ชลบุรีอึ้งย่งล้ง — งานก่อสร้าง</t>
        </is>
      </c>
      <c r="D69" s="6" t="inlineStr">
        <is>
          <t>ต้นทุนขาย-วัสดุก่อสร้าง</t>
        </is>
      </c>
      <c r="E69" s="6" t="inlineStr">
        <is>
          <t>ALL</t>
        </is>
      </c>
      <c r="F69" s="10" t="n">
        <v>0</v>
      </c>
      <c r="G69" s="10" t="n">
        <v>126194.56</v>
      </c>
      <c r="H69" s="10" t="n">
        <v>8864130.020000001</v>
      </c>
      <c r="I69" s="6" t="inlineStr">
        <is>
          <t>โอน</t>
        </is>
      </c>
    </row>
    <row r="70">
      <c r="A70" s="6" t="inlineStr">
        <is>
          <t>2568-11-06</t>
        </is>
      </c>
      <c r="B70" s="6" t="inlineStr">
        <is>
          <t>V-256811-0012</t>
        </is>
      </c>
      <c r="C70" s="6" t="inlineStr">
        <is>
          <t>ร้านกาแฟ — ค่าน้ำต้อนรับลูกค้า</t>
        </is>
      </c>
      <c r="D70" s="6" t="inlineStr">
        <is>
          <t>ค่าใช้จ่ายสำนักงาน</t>
        </is>
      </c>
      <c r="E70" s="6" t="inlineStr">
        <is>
          <t>ALL</t>
        </is>
      </c>
      <c r="F70" s="10" t="n">
        <v>0</v>
      </c>
      <c r="G70" s="10" t="n">
        <v>2126</v>
      </c>
      <c r="H70" s="10" t="n">
        <v>8862004.020000001</v>
      </c>
      <c r="I70" s="6" t="inlineStr">
        <is>
          <t>โอน</t>
        </is>
      </c>
    </row>
    <row r="71">
      <c r="A71" s="6" t="inlineStr">
        <is>
          <t>2568-11-06</t>
        </is>
      </c>
      <c r="B71" s="6" t="inlineStr">
        <is>
          <t>V-256811-0013</t>
        </is>
      </c>
      <c r="C71" s="6" t="inlineStr">
        <is>
          <t>ส.เจริญชัย ค้าวัสดุก่อสร้าง — แผ่นพื้น [2ยอดรวมกัน]</t>
        </is>
      </c>
      <c r="D71" s="6" t="inlineStr">
        <is>
          <t>ต้นทุนขาย-วัสดุก่อสร้าง</t>
        </is>
      </c>
      <c r="E71" s="6" t="inlineStr">
        <is>
          <t>ALL</t>
        </is>
      </c>
      <c r="F71" s="10" t="n">
        <v>0</v>
      </c>
      <c r="G71" s="10" t="n">
        <v>168941.36</v>
      </c>
      <c r="H71" s="10" t="n">
        <v>8693062.660000002</v>
      </c>
      <c r="I71" s="6" t="inlineStr">
        <is>
          <t>โอน</t>
        </is>
      </c>
    </row>
    <row r="72">
      <c r="A72" s="6" t="inlineStr">
        <is>
          <t>2568-11-06</t>
        </is>
      </c>
      <c r="B72" s="6" t="inlineStr">
        <is>
          <t>V-256811-0014</t>
        </is>
      </c>
      <c r="C72" s="6" t="inlineStr">
        <is>
          <t>นาย โกวิท ราษีทอง — จ่ายผลต่างเงินสดย่อยเดือนตุลาคม [ส่วนต่างบริษัทโอนให้นายโกวิทเดือน ตุลาคม]</t>
        </is>
      </c>
      <c r="D72" s="6" t="inlineStr">
        <is>
          <t>ค่าใช้จ่ายอื่น</t>
        </is>
      </c>
      <c r="E72" s="6" t="inlineStr">
        <is>
          <t>ALL</t>
        </is>
      </c>
      <c r="F72" s="10" t="n">
        <v>0</v>
      </c>
      <c r="G72" s="10" t="n">
        <v>874.4299999999999</v>
      </c>
      <c r="H72" s="10" t="n">
        <v>8692188.230000002</v>
      </c>
      <c r="I72" s="6" t="inlineStr">
        <is>
          <t>โอน</t>
        </is>
      </c>
    </row>
    <row r="73">
      <c r="A73" s="6" t="inlineStr">
        <is>
          <t>2568-11-08</t>
        </is>
      </c>
      <c r="B73" s="6" t="inlineStr">
        <is>
          <t>V-256811-0015</t>
        </is>
      </c>
      <c r="C73" s="6" t="inlineStr">
        <is>
          <t>AIS ไฟเบอร์ — ค่าไวไฟสำนักงาน [เงินสดย่อย กมลชนก]</t>
        </is>
      </c>
      <c r="D73" s="6" t="inlineStr">
        <is>
          <t>ค่าใช้จ่ายสำนักงาน</t>
        </is>
      </c>
      <c r="E73" s="6" t="inlineStr">
        <is>
          <t>ALL</t>
        </is>
      </c>
      <c r="F73" s="10" t="n">
        <v>0</v>
      </c>
      <c r="G73" s="10" t="n">
        <v>1495.86</v>
      </c>
      <c r="H73" s="10" t="n">
        <v>8690692.370000003</v>
      </c>
      <c r="I73" s="6" t="inlineStr">
        <is>
          <t>โอน</t>
        </is>
      </c>
    </row>
    <row r="74">
      <c r="A74" s="6" t="inlineStr">
        <is>
          <t>2568-11-09</t>
        </is>
      </c>
      <c r="B74" s="6" t="inlineStr">
        <is>
          <t>V-256811-0016</t>
        </is>
      </c>
      <c r="C74" s="6" t="inlineStr">
        <is>
          <t>นาย นนทวัฒน์ — ทำงานรั้วทาวน์โฮม [เงินสดย่อย กมลชนก]</t>
        </is>
      </c>
      <c r="D74" s="6" t="inlineStr">
        <is>
          <t>ต้นทุนขาย-วัสดุก่อสร้าง</t>
        </is>
      </c>
      <c r="E74" s="6" t="inlineStr">
        <is>
          <t>ALL</t>
        </is>
      </c>
      <c r="F74" s="10" t="n">
        <v>0</v>
      </c>
      <c r="G74" s="10" t="n">
        <v>3000</v>
      </c>
      <c r="H74" s="10" t="n">
        <v>8687692.370000003</v>
      </c>
      <c r="I74" s="6" t="inlineStr">
        <is>
          <t>เงินสด</t>
        </is>
      </c>
    </row>
    <row r="75">
      <c r="A75" s="6" t="inlineStr">
        <is>
          <t>2568-11-10</t>
        </is>
      </c>
      <c r="B75" s="6" t="inlineStr">
        <is>
          <t>V-256811-0017</t>
        </is>
      </c>
      <c r="C75" s="6" t="inlineStr">
        <is>
          <t>UOB CREDIT — บัตรเครดิต</t>
        </is>
      </c>
      <c r="D75" s="6" t="inlineStr">
        <is>
          <t>ค่าใช้จ่ายสำนักงาน</t>
        </is>
      </c>
      <c r="E75" s="6" t="inlineStr">
        <is>
          <t>ALL</t>
        </is>
      </c>
      <c r="F75" s="10" t="n">
        <v>0</v>
      </c>
      <c r="G75" s="10" t="n">
        <v>205640</v>
      </c>
      <c r="H75" s="10" t="n">
        <v>8482052.370000003</v>
      </c>
      <c r="I75" s="6" t="inlineStr">
        <is>
          <t>โอน</t>
        </is>
      </c>
    </row>
    <row r="76">
      <c r="A76" s="6" t="inlineStr">
        <is>
          <t>2568-11-10</t>
        </is>
      </c>
      <c r="B76" s="6" t="inlineStr">
        <is>
          <t>V-256811-0018</t>
        </is>
      </c>
      <c r="C76" s="6" t="inlineStr">
        <is>
          <t>PT — เติมน้ำมัน [เงินสดย่อย นายโกวิท]</t>
        </is>
      </c>
      <c r="D76" s="6" t="inlineStr">
        <is>
          <t>ต้นทุนขาย-วัสดุก่อสร้าง</t>
        </is>
      </c>
      <c r="E76" s="6" t="inlineStr">
        <is>
          <t>ALL</t>
        </is>
      </c>
      <c r="F76" s="10" t="n">
        <v>0</v>
      </c>
      <c r="G76" s="10" t="n">
        <v>3000</v>
      </c>
      <c r="H76" s="10" t="n">
        <v>8479052.370000003</v>
      </c>
      <c r="I76" s="6" t="inlineStr">
        <is>
          <t>โอน</t>
        </is>
      </c>
    </row>
    <row r="77">
      <c r="A77" s="6" t="inlineStr">
        <is>
          <t>2568-11-11</t>
        </is>
      </c>
      <c r="B77" s="6" t="inlineStr">
        <is>
          <t>V-256811-0019</t>
        </is>
      </c>
      <c r="C77" s="6" t="inlineStr">
        <is>
          <t>ศรีพโลค้าวัสดุก่อสร้าง — พุด สกรูเกลียว [เงินสดย่อย บรรลือศักดิ์]</t>
        </is>
      </c>
      <c r="D77" s="6" t="inlineStr">
        <is>
          <t>ต้นทุนขาย-วัสดุก่อสร้าง</t>
        </is>
      </c>
      <c r="E77" s="6" t="inlineStr">
        <is>
          <t>ALL</t>
        </is>
      </c>
      <c r="F77" s="10" t="n">
        <v>0</v>
      </c>
      <c r="G77" s="10" t="n">
        <v>124</v>
      </c>
      <c r="H77" s="10" t="n">
        <v>8478928.370000003</v>
      </c>
      <c r="I77" s="6" t="inlineStr">
        <is>
          <t>เงินสด</t>
        </is>
      </c>
    </row>
    <row r="78">
      <c r="A78" s="6" t="inlineStr">
        <is>
          <t>2568-11-11</t>
        </is>
      </c>
      <c r="B78" s="6" t="inlineStr">
        <is>
          <t>V-256811-0020</t>
        </is>
      </c>
      <c r="C78" s="6" t="inlineStr">
        <is>
          <t>นาย รชานนท์ ด้วงคงสุก — บัญชี</t>
        </is>
      </c>
      <c r="D78" s="6" t="inlineStr">
        <is>
          <t>ค่าใช้จ่ายสำนักงาน</t>
        </is>
      </c>
      <c r="E78" s="6" t="inlineStr">
        <is>
          <t>ALL</t>
        </is>
      </c>
      <c r="F78" s="10" t="n">
        <v>0</v>
      </c>
      <c r="G78" s="10" t="n">
        <v>4000</v>
      </c>
      <c r="H78" s="10" t="n">
        <v>8474928.370000003</v>
      </c>
      <c r="I78" s="6" t="inlineStr">
        <is>
          <t>โอน</t>
        </is>
      </c>
    </row>
    <row r="79">
      <c r="A79" s="6" t="inlineStr">
        <is>
          <t>2568-11-11</t>
        </is>
      </c>
      <c r="B79" s="6" t="inlineStr">
        <is>
          <t>V-256811-0021</t>
        </is>
      </c>
      <c r="C79" s="6" t="inlineStr">
        <is>
          <t>บจก.จอร์จสตัน เซอร์วิส กรุ๊ป — ท่อปลวก</t>
        </is>
      </c>
      <c r="D79" s="6" t="inlineStr">
        <is>
          <t>ต้นทุนขาย-วัสดุก่อสร้าง</t>
        </is>
      </c>
      <c r="E79" s="6" t="inlineStr">
        <is>
          <t>ALL</t>
        </is>
      </c>
      <c r="F79" s="10" t="n">
        <v>0</v>
      </c>
      <c r="G79" s="10" t="n">
        <v>11770</v>
      </c>
      <c r="H79" s="10" t="n">
        <v>8463158.370000003</v>
      </c>
      <c r="I79" s="6" t="inlineStr">
        <is>
          <t>โอน</t>
        </is>
      </c>
    </row>
    <row r="80">
      <c r="A80" s="6" t="inlineStr">
        <is>
          <t>2568-11-11</t>
        </is>
      </c>
      <c r="B80" s="6" t="inlineStr">
        <is>
          <t>V-256811-0022</t>
        </is>
      </c>
      <c r="C80" s="6" t="inlineStr">
        <is>
          <t>วิชดา ระวังชัยสงค์ — สำนักงานอุกรณ์ทำความสะอาด [เงินสดย่อย กมลชนก]</t>
        </is>
      </c>
      <c r="D80" s="6" t="inlineStr">
        <is>
          <t>ค่าใช้จ่ายสำนักงาน</t>
        </is>
      </c>
      <c r="E80" s="6" t="inlineStr">
        <is>
          <t>ALL</t>
        </is>
      </c>
      <c r="F80" s="10" t="n">
        <v>0</v>
      </c>
      <c r="G80" s="10" t="n">
        <v>387</v>
      </c>
      <c r="H80" s="10" t="n">
        <v>8462771.370000003</v>
      </c>
      <c r="I80" s="6" t="inlineStr">
        <is>
          <t>โอน</t>
        </is>
      </c>
    </row>
    <row r="81">
      <c r="A81" s="6" t="inlineStr">
        <is>
          <t>2568-11-11</t>
        </is>
      </c>
      <c r="B81" s="6" t="inlineStr">
        <is>
          <t>V-256811-0023</t>
        </is>
      </c>
      <c r="C81" s="6" t="inlineStr">
        <is>
          <t>ช้อปปี้ badisupreme — ที่นอนบ้าน ตย. 6 ฟุต [เงินสดย่อย กมลชนก]</t>
        </is>
      </c>
      <c r="D81" s="6" t="inlineStr">
        <is>
          <t>ค่าใช้จ่ายสำนักงาน</t>
        </is>
      </c>
      <c r="E81" s="6" t="inlineStr">
        <is>
          <t>ALL</t>
        </is>
      </c>
      <c r="F81" s="10" t="n">
        <v>0</v>
      </c>
      <c r="G81" s="10" t="n">
        <v>6123</v>
      </c>
      <c r="H81" s="10" t="n">
        <v>8456648.370000003</v>
      </c>
      <c r="I81" s="6" t="inlineStr">
        <is>
          <t>โอน</t>
        </is>
      </c>
    </row>
    <row r="82">
      <c r="A82" s="6" t="inlineStr">
        <is>
          <t>2568-11-11</t>
        </is>
      </c>
      <c r="B82" s="6" t="inlineStr">
        <is>
          <t>V-256811-0024</t>
        </is>
      </c>
      <c r="C82" s="6" t="inlineStr">
        <is>
          <t>ชุนหลีแบตเตอรี่ — เติมกรด+อัดไฟ [เงินสดย่อย นายโกวิท]</t>
        </is>
      </c>
      <c r="D82" s="6" t="inlineStr">
        <is>
          <t>ต้นทุนขาย-วัสดุก่อสร้าง</t>
        </is>
      </c>
      <c r="E82" s="6" t="inlineStr">
        <is>
          <t>ALL</t>
        </is>
      </c>
      <c r="F82" s="10" t="n">
        <v>0</v>
      </c>
      <c r="G82" s="10" t="n">
        <v>200</v>
      </c>
      <c r="H82" s="10" t="n">
        <v>8456448.370000003</v>
      </c>
      <c r="I82" s="6" t="inlineStr">
        <is>
          <t>เงินสด</t>
        </is>
      </c>
    </row>
    <row r="83">
      <c r="A83" s="6" t="inlineStr">
        <is>
          <t>2568-11-12</t>
        </is>
      </c>
      <c r="B83" s="6" t="inlineStr">
        <is>
          <t>V-256811-0025</t>
        </is>
      </c>
      <c r="C83" s="6" t="inlineStr">
        <is>
          <t>การเกษตร ปุ๋ย — ยาฆ่าหญ้า [เงินสดย่อย นายโกวิท]</t>
        </is>
      </c>
      <c r="D83" s="6" t="inlineStr">
        <is>
          <t>ต้นทุนขาย-วัสดุก่อสร้าง</t>
        </is>
      </c>
      <c r="E83" s="6" t="inlineStr">
        <is>
          <t>ALL</t>
        </is>
      </c>
      <c r="F83" s="10" t="n">
        <v>0</v>
      </c>
      <c r="G83" s="10" t="n">
        <v>385</v>
      </c>
      <c r="H83" s="10" t="n">
        <v>8456063.370000003</v>
      </c>
      <c r="I83" s="6" t="inlineStr">
        <is>
          <t>เงินสด</t>
        </is>
      </c>
    </row>
    <row r="84">
      <c r="A84" s="6" t="inlineStr">
        <is>
          <t>2568-11-12</t>
        </is>
      </c>
      <c r="B84" s="6" t="inlineStr">
        <is>
          <t>V-256811-0026</t>
        </is>
      </c>
      <c r="C84" s="6" t="inlineStr">
        <is>
          <t>ว.พานิช — อุปกรณ์แฟ้มสำนักงาน [เงินสดย่อย กมลชนก]</t>
        </is>
      </c>
      <c r="D84" s="6" t="inlineStr">
        <is>
          <t>ค่าใช้จ่ายสำนักงาน</t>
        </is>
      </c>
      <c r="E84" s="6" t="inlineStr">
        <is>
          <t>ALL</t>
        </is>
      </c>
      <c r="F84" s="10" t="n">
        <v>0</v>
      </c>
      <c r="G84" s="10" t="n">
        <v>1790</v>
      </c>
      <c r="H84" s="10" t="n">
        <v>8454273.370000003</v>
      </c>
      <c r="I84" s="6" t="inlineStr">
        <is>
          <t>โอน</t>
        </is>
      </c>
    </row>
    <row r="85">
      <c r="A85" s="6" t="inlineStr">
        <is>
          <t>2568-11-12</t>
        </is>
      </c>
      <c r="B85" s="6" t="inlineStr">
        <is>
          <t>V-256811-0027</t>
        </is>
      </c>
      <c r="C85" s="6" t="inlineStr">
        <is>
          <t>กรมสรรพากร — ภาษีเครื่องปริ้น [เงินสดย่อย กมลชนก]</t>
        </is>
      </c>
      <c r="D85" s="6" t="inlineStr">
        <is>
          <t>ค่าใช้จ่ายสำนักงาน</t>
        </is>
      </c>
      <c r="E85" s="6" t="inlineStr">
        <is>
          <t>ALL</t>
        </is>
      </c>
      <c r="F85" s="10" t="n">
        <v>0</v>
      </c>
      <c r="G85" s="10" t="n">
        <v>110.38</v>
      </c>
      <c r="H85" s="10" t="n">
        <v>8454162.990000002</v>
      </c>
      <c r="I85" s="6" t="inlineStr">
        <is>
          <t>โอน</t>
        </is>
      </c>
    </row>
    <row r="86">
      <c r="A86" s="6" t="inlineStr">
        <is>
          <t>2568-11-13</t>
        </is>
      </c>
      <c r="B86" s="6" t="inlineStr">
        <is>
          <t>V-256811-0028</t>
        </is>
      </c>
      <c r="C86" s="6" t="inlineStr">
        <is>
          <t>ช้อปปี้ของตกแต่งบ้านตย. — ของตกแต่งบ้านตย. [เงินสดย่อย กมลชนก]</t>
        </is>
      </c>
      <c r="D86" s="6" t="inlineStr">
        <is>
          <t>ค่าใช้จ่ายสำนักงาน</t>
        </is>
      </c>
      <c r="E86" s="6" t="inlineStr">
        <is>
          <t>ALL</t>
        </is>
      </c>
      <c r="F86" s="10" t="n">
        <v>0</v>
      </c>
      <c r="G86" s="10" t="n">
        <v>2309</v>
      </c>
      <c r="H86" s="10" t="n">
        <v>8451853.990000002</v>
      </c>
      <c r="I86" s="6" t="inlineStr">
        <is>
          <t>โอน</t>
        </is>
      </c>
    </row>
    <row r="87">
      <c r="A87" s="6" t="inlineStr">
        <is>
          <t>2568-11-13</t>
        </is>
      </c>
      <c r="B87" s="6" t="inlineStr">
        <is>
          <t>V-256811-0029</t>
        </is>
      </c>
      <c r="C87" s="6" t="inlineStr">
        <is>
          <t>ช้อปปี้กระดาษA4 — กระดาษA4 [เงินสดย่อย กมลชนก]</t>
        </is>
      </c>
      <c r="D87" s="6" t="inlineStr">
        <is>
          <t>ค่าใช้จ่ายสำนักงาน</t>
        </is>
      </c>
      <c r="E87" s="6" t="inlineStr">
        <is>
          <t>ALL</t>
        </is>
      </c>
      <c r="F87" s="10" t="n">
        <v>0</v>
      </c>
      <c r="G87" s="10" t="n">
        <v>499</v>
      </c>
      <c r="H87" s="10" t="n">
        <v>8451354.990000002</v>
      </c>
      <c r="I87" s="6" t="inlineStr">
        <is>
          <t>โอน</t>
        </is>
      </c>
    </row>
    <row r="88">
      <c r="A88" s="6" t="inlineStr">
        <is>
          <t>2568-11-14</t>
        </is>
      </c>
      <c r="B88" s="6" t="inlineStr">
        <is>
          <t>V-256811-0030</t>
        </is>
      </c>
      <c r="C88" s="6" t="inlineStr">
        <is>
          <t>ศรีพโลค้าวัสดุ — ใบตัด สีฝุ่น ตะปุ สว่านฯ [เงินสดย่อย บรรลือศักดิ์]</t>
        </is>
      </c>
      <c r="D88" s="6" t="inlineStr">
        <is>
          <t>ต้นทุนขาย-วัสดุก่อสร้าง</t>
        </is>
      </c>
      <c r="E88" s="6" t="inlineStr">
        <is>
          <t>ALL</t>
        </is>
      </c>
      <c r="F88" s="10" t="n">
        <v>0</v>
      </c>
      <c r="G88" s="10" t="n">
        <v>1305</v>
      </c>
      <c r="H88" s="10" t="n">
        <v>8450049.990000002</v>
      </c>
      <c r="I88" s="6" t="inlineStr">
        <is>
          <t>เงินสด</t>
        </is>
      </c>
    </row>
    <row r="89">
      <c r="A89" s="6" t="inlineStr">
        <is>
          <t>2568-11-14</t>
        </is>
      </c>
      <c r="B89" s="6" t="inlineStr">
        <is>
          <t>V-256811-0031</t>
        </is>
      </c>
      <c r="C89" s="6" t="inlineStr">
        <is>
          <t>วิชดา ระวังชัยสงค์ — ทำความสะอาดบ้านตย. [เงินสดย่อย กมลชนก]</t>
        </is>
      </c>
      <c r="D89" s="6" t="inlineStr">
        <is>
          <t>ค่าใช้จ่ายสำนักงาน</t>
        </is>
      </c>
      <c r="E89" s="6" t="inlineStr">
        <is>
          <t>ALL</t>
        </is>
      </c>
      <c r="F89" s="10" t="n">
        <v>0</v>
      </c>
      <c r="G89" s="10" t="n">
        <v>500</v>
      </c>
      <c r="H89" s="10" t="n">
        <v>8449549.990000002</v>
      </c>
      <c r="I89" s="6" t="inlineStr">
        <is>
          <t>เงินสด</t>
        </is>
      </c>
    </row>
    <row r="90">
      <c r="A90" s="6" t="inlineStr">
        <is>
          <t>2568-11-15</t>
        </is>
      </c>
      <c r="B90" s="6" t="inlineStr">
        <is>
          <t>V-256811-0032</t>
        </is>
      </c>
      <c r="C90" s="6" t="inlineStr">
        <is>
          <t>ร้านเจริญชล — ปุ๋ย 16-16-16 [เงินสดย่อย นายโกวิท]</t>
        </is>
      </c>
      <c r="D90" s="6" t="inlineStr">
        <is>
          <t>ต้นทุนขาย-วัสดุก่อสร้าง</t>
        </is>
      </c>
      <c r="E90" s="6" t="inlineStr">
        <is>
          <t>ALL</t>
        </is>
      </c>
      <c r="F90" s="10" t="n">
        <v>0</v>
      </c>
      <c r="G90" s="10" t="n">
        <v>175</v>
      </c>
      <c r="H90" s="10" t="n">
        <v>8449374.990000002</v>
      </c>
      <c r="I90" s="6" t="inlineStr">
        <is>
          <t>เงินสด</t>
        </is>
      </c>
    </row>
    <row r="91">
      <c r="A91" s="6" t="inlineStr">
        <is>
          <t>2568-11-15</t>
        </is>
      </c>
      <c r="B91" s="6" t="inlineStr">
        <is>
          <t>V-256811-0033</t>
        </is>
      </c>
      <c r="C91" s="6" t="inlineStr">
        <is>
          <t>ร้านสะดวกซื้อ — รองเท้าบูท หน้ากากกันแก็ส [เงินสดย่อย นายโกวิท]</t>
        </is>
      </c>
      <c r="D91" s="6" t="inlineStr">
        <is>
          <t>ต้นทุนขาย-วัสดุก่อสร้าง</t>
        </is>
      </c>
      <c r="E91" s="6" t="inlineStr">
        <is>
          <t>ALL</t>
        </is>
      </c>
      <c r="F91" s="10" t="n">
        <v>0</v>
      </c>
      <c r="G91" s="10" t="n">
        <v>350</v>
      </c>
      <c r="H91" s="10" t="n">
        <v>8449024.990000002</v>
      </c>
      <c r="I91" s="6" t="inlineStr">
        <is>
          <t>เงินสด</t>
        </is>
      </c>
    </row>
    <row r="92">
      <c r="A92" s="6" t="inlineStr">
        <is>
          <t>2568-11-15</t>
        </is>
      </c>
      <c r="B92" s="6" t="inlineStr">
        <is>
          <t>V-256811-0034</t>
        </is>
      </c>
      <c r="C92" s="6" t="inlineStr">
        <is>
          <t>เพิ่มทรัพย์ค้าวัสดุก่อสร้าง — Cpac ค่าปูนเดือน 10</t>
        </is>
      </c>
      <c r="D92" s="6" t="inlineStr">
        <is>
          <t>ต้นทุนขาย-วัสดุก่อสร้าง</t>
        </is>
      </c>
      <c r="E92" s="6" t="inlineStr">
        <is>
          <t>ALL</t>
        </is>
      </c>
      <c r="F92" s="10" t="n">
        <v>0</v>
      </c>
      <c r="G92" s="10" t="n">
        <v>99021.25</v>
      </c>
      <c r="H92" s="10" t="n">
        <v>8350003.740000002</v>
      </c>
      <c r="I92" s="6" t="inlineStr">
        <is>
          <t>โอน</t>
        </is>
      </c>
    </row>
    <row r="93">
      <c r="A93" s="6" t="inlineStr">
        <is>
          <t>2568-11-15</t>
        </is>
      </c>
      <c r="B93" s="6" t="inlineStr">
        <is>
          <t>V-256811-0035</t>
        </is>
      </c>
      <c r="C93" s="6" t="inlineStr">
        <is>
          <t>ร้านสะดวกซื้อ — ชุดกันฝน+ถุงมือ [เงินสดย่อย นายโกวิท]</t>
        </is>
      </c>
      <c r="D93" s="6" t="inlineStr">
        <is>
          <t>ต้นทุนขาย-วัสดุก่อสร้าง</t>
        </is>
      </c>
      <c r="E93" s="6" t="inlineStr">
        <is>
          <t>ALL</t>
        </is>
      </c>
      <c r="F93" s="10" t="n">
        <v>0</v>
      </c>
      <c r="G93" s="10" t="n">
        <v>50</v>
      </c>
      <c r="H93" s="10" t="n">
        <v>8349953.740000002</v>
      </c>
      <c r="I93" s="6" t="inlineStr">
        <is>
          <t>เงินสด</t>
        </is>
      </c>
    </row>
    <row r="94">
      <c r="A94" s="6" t="inlineStr">
        <is>
          <t>2568-11-17</t>
        </is>
      </c>
      <c r="B94" s="6" t="inlineStr">
        <is>
          <t>V-256811-0036</t>
        </is>
      </c>
      <c r="C94" s="6" t="inlineStr">
        <is>
          <t>ศรีพโลค้าวัสดุ — กาวทาท่อ [เงินสดย่อย บรรลือศักดิ์]</t>
        </is>
      </c>
      <c r="D94" s="6" t="inlineStr">
        <is>
          <t>ต้นทุนขาย-วัสดุก่อสร้าง</t>
        </is>
      </c>
      <c r="E94" s="6" t="inlineStr">
        <is>
          <t>ALL</t>
        </is>
      </c>
      <c r="F94" s="10" t="n">
        <v>0</v>
      </c>
      <c r="G94" s="10" t="n">
        <v>930</v>
      </c>
      <c r="H94" s="10" t="n">
        <v>8349023.740000002</v>
      </c>
      <c r="I94" s="6" t="inlineStr">
        <is>
          <t>เงินสด</t>
        </is>
      </c>
    </row>
    <row r="95">
      <c r="A95" s="6" t="inlineStr">
        <is>
          <t>2568-11-17</t>
        </is>
      </c>
      <c r="B95" s="6" t="inlineStr">
        <is>
          <t>V-256811-0037</t>
        </is>
      </c>
      <c r="C95" s="6" t="inlineStr">
        <is>
          <t>ศรีพโลค้าวัสดุ — ข้องอ 45 [เงินสดย่อย นายโกวิท]</t>
        </is>
      </c>
      <c r="D95" s="6" t="inlineStr">
        <is>
          <t>ต้นทุนขาย-วัสดุก่อสร้าง</t>
        </is>
      </c>
      <c r="E95" s="6" t="inlineStr">
        <is>
          <t>ALL</t>
        </is>
      </c>
      <c r="F95" s="10" t="n">
        <v>0</v>
      </c>
      <c r="G95" s="10" t="n">
        <v>910</v>
      </c>
      <c r="H95" s="10" t="n">
        <v>8348113.740000002</v>
      </c>
      <c r="I95" s="6" t="inlineStr">
        <is>
          <t>เงินสด</t>
        </is>
      </c>
    </row>
    <row r="96">
      <c r="A96" s="6" t="inlineStr">
        <is>
          <t>2568-11-19</t>
        </is>
      </c>
      <c r="B96" s="6" t="inlineStr">
        <is>
          <t>V-256811-0038</t>
        </is>
      </c>
      <c r="C96" s="6" t="inlineStr">
        <is>
          <t>ช้อปปี้กระดาษA4 — กระดาษA4 [เงินสดย่อย กมลชนก]</t>
        </is>
      </c>
      <c r="D96" s="6" t="inlineStr">
        <is>
          <t>ค่าใช้จ่ายสำนักงาน</t>
        </is>
      </c>
      <c r="E96" s="6" t="inlineStr">
        <is>
          <t>ALL</t>
        </is>
      </c>
      <c r="F96" s="10" t="n">
        <v>0</v>
      </c>
      <c r="G96" s="10" t="n">
        <v>530</v>
      </c>
      <c r="H96" s="10" t="n">
        <v>8347583.740000002</v>
      </c>
      <c r="I96" s="6" t="inlineStr">
        <is>
          <t>โอน</t>
        </is>
      </c>
    </row>
    <row r="97">
      <c r="A97" s="6" t="inlineStr">
        <is>
          <t>2568-11-20</t>
        </is>
      </c>
      <c r="B97" s="6" t="inlineStr">
        <is>
          <t>V-256811-0039</t>
        </is>
      </c>
      <c r="C97" s="6" t="inlineStr">
        <is>
          <t>ช้อปปี้กระดาษA4 — กระดาษA4 [เงินสดย่อย กมลชนก]</t>
        </is>
      </c>
      <c r="D97" s="6" t="inlineStr">
        <is>
          <t>ค่าใช้จ่ายสำนักงาน</t>
        </is>
      </c>
      <c r="E97" s="6" t="inlineStr">
        <is>
          <t>ALL</t>
        </is>
      </c>
      <c r="F97" s="10" t="n">
        <v>0</v>
      </c>
      <c r="G97" s="10" t="n">
        <v>530</v>
      </c>
      <c r="H97" s="10" t="n">
        <v>8347053.740000002</v>
      </c>
      <c r="I97" s="6" t="inlineStr">
        <is>
          <t>เงินสด</t>
        </is>
      </c>
    </row>
    <row r="98">
      <c r="A98" s="6" t="inlineStr">
        <is>
          <t>2568-11-20</t>
        </is>
      </c>
      <c r="B98" s="6" t="inlineStr">
        <is>
          <t>V-256811-0040</t>
        </is>
      </c>
      <c r="C98" s="6" t="inlineStr">
        <is>
          <t>วิชดา ระวังชัยสงค์ — ดอกไม้ไหว้พระ [เงินสดย่อย กมลชนก]</t>
        </is>
      </c>
      <c r="D98" s="6" t="inlineStr">
        <is>
          <t>ค่าใช้จ่ายสำนักงาน</t>
        </is>
      </c>
      <c r="E98" s="6" t="inlineStr">
        <is>
          <t>ALL</t>
        </is>
      </c>
      <c r="F98" s="10" t="n">
        <v>0</v>
      </c>
      <c r="G98" s="10" t="n">
        <v>190</v>
      </c>
      <c r="H98" s="10" t="n">
        <v>8346863.740000002</v>
      </c>
      <c r="I98" s="6" t="inlineStr">
        <is>
          <t>โอน</t>
        </is>
      </c>
    </row>
    <row r="99">
      <c r="A99" s="6" t="inlineStr">
        <is>
          <t>2568-11-22</t>
        </is>
      </c>
      <c r="B99" s="6" t="inlineStr">
        <is>
          <t>V-256811-0041</t>
        </is>
      </c>
      <c r="C99" s="6" t="inlineStr">
        <is>
          <t>ศรีพโลค้าวัสดุ — กาวอิฐบล็อค [เงินสดย่อย บรรลือศักดิ์]</t>
        </is>
      </c>
      <c r="D99" s="6" t="inlineStr">
        <is>
          <t>ต้นทุนขาย-วัสดุก่อสร้าง</t>
        </is>
      </c>
      <c r="E99" s="6" t="inlineStr">
        <is>
          <t>ALL</t>
        </is>
      </c>
      <c r="F99" s="10" t="n">
        <v>0</v>
      </c>
      <c r="G99" s="10" t="n">
        <v>850</v>
      </c>
      <c r="H99" s="10" t="n">
        <v>8346013.740000002</v>
      </c>
      <c r="I99" s="6" t="inlineStr">
        <is>
          <t>เงินสด</t>
        </is>
      </c>
    </row>
    <row r="100">
      <c r="A100" s="6" t="inlineStr">
        <is>
          <t>2568-11-23</t>
        </is>
      </c>
      <c r="B100" s="6" t="inlineStr">
        <is>
          <t>V-256811-0042</t>
        </is>
      </c>
      <c r="C100" s="6" t="inlineStr">
        <is>
          <t>Mr.Chan oo- — ค่าแรงคนงานตัดหญ้า [เงินสดย่อย กมลชนก]</t>
        </is>
      </c>
      <c r="D100" s="6" t="inlineStr">
        <is>
          <t>ค่าใช้จ่ายสำนักงาน</t>
        </is>
      </c>
      <c r="E100" s="6" t="inlineStr">
        <is>
          <t>ALL</t>
        </is>
      </c>
      <c r="F100" s="10" t="n">
        <v>0</v>
      </c>
      <c r="G100" s="10" t="n">
        <v>1100</v>
      </c>
      <c r="H100" s="10" t="n">
        <v>8344913.740000002</v>
      </c>
      <c r="I100" s="6" t="inlineStr">
        <is>
          <t>โอน</t>
        </is>
      </c>
    </row>
    <row r="101">
      <c r="A101" s="6" t="inlineStr">
        <is>
          <t>2568-11-23</t>
        </is>
      </c>
      <c r="B101" s="6" t="inlineStr">
        <is>
          <t>V-256811-0043</t>
        </is>
      </c>
      <c r="C101" s="6" t="inlineStr">
        <is>
          <t>ชลบุรีอึ้งย่งล้ง — กรรไกรตัดกิ่ง [เงินสดย่อย กมลชนก]</t>
        </is>
      </c>
      <c r="D101" s="6" t="inlineStr">
        <is>
          <t>ค่าใช้จ่ายสำนักงาน</t>
        </is>
      </c>
      <c r="E101" s="6" t="inlineStr">
        <is>
          <t>ALL</t>
        </is>
      </c>
      <c r="F101" s="10" t="n">
        <v>0</v>
      </c>
      <c r="G101" s="10" t="n">
        <v>255</v>
      </c>
      <c r="H101" s="10" t="n">
        <v>8344658.740000002</v>
      </c>
      <c r="I101" s="6" t="inlineStr">
        <is>
          <t>โอน</t>
        </is>
      </c>
    </row>
    <row r="102">
      <c r="A102" s="6" t="inlineStr">
        <is>
          <t>2568-11-26</t>
        </is>
      </c>
      <c r="B102" s="6" t="inlineStr">
        <is>
          <t>V-256811-0044</t>
        </is>
      </c>
      <c r="C102" s="6" t="inlineStr">
        <is>
          <t>นาย นนทวัฒน์ — งานรั้วทาวน์โฮม 3 หลัง [หัก3%แล้ว  งสย.กมลชนก]</t>
        </is>
      </c>
      <c r="D102" s="6" t="inlineStr">
        <is>
          <t>ต้นทุนขาย-วัสดุก่อสร้าง</t>
        </is>
      </c>
      <c r="E102" s="6" t="inlineStr">
        <is>
          <t>ALL</t>
        </is>
      </c>
      <c r="F102" s="10" t="n">
        <v>0</v>
      </c>
      <c r="G102" s="10" t="n">
        <v>10864</v>
      </c>
      <c r="H102" s="10" t="n">
        <v>8333794.740000002</v>
      </c>
      <c r="I102" s="6" t="inlineStr">
        <is>
          <t>โอน</t>
        </is>
      </c>
    </row>
    <row r="103">
      <c r="A103" s="6" t="inlineStr">
        <is>
          <t>2568-11-26</t>
        </is>
      </c>
      <c r="B103" s="6" t="inlineStr">
        <is>
          <t>V-256811-0045</t>
        </is>
      </c>
      <c r="C103" s="6" t="inlineStr">
        <is>
          <t>นาย ธวัชชัย รุ่งเรืองสินงาม — ค่าเก็บขยะ 3 เดือน</t>
        </is>
      </c>
      <c r="D103" s="6" t="inlineStr">
        <is>
          <t>ค่าน้ำ-ไฟ-โทรศัพท์</t>
        </is>
      </c>
      <c r="E103" s="6" t="inlineStr">
        <is>
          <t>ALL</t>
        </is>
      </c>
      <c r="F103" s="10" t="n">
        <v>0</v>
      </c>
      <c r="G103" s="10" t="n">
        <v>7800</v>
      </c>
      <c r="H103" s="10" t="n">
        <v>8325994.740000002</v>
      </c>
      <c r="I103" s="6" t="inlineStr">
        <is>
          <t>โอน</t>
        </is>
      </c>
    </row>
    <row r="104">
      <c r="A104" s="6" t="inlineStr">
        <is>
          <t>2568-11-26</t>
        </is>
      </c>
      <c r="B104" s="6" t="inlineStr">
        <is>
          <t>V-256811-0046</t>
        </is>
      </c>
      <c r="C104" s="6" t="inlineStr">
        <is>
          <t>ยิงแอดtiktok — ยิงแอดtiktok [เงินสดย่อย กมลชนกไม่มีสลิป]</t>
        </is>
      </c>
      <c r="D104" s="6" t="inlineStr">
        <is>
          <t>ค่าใช้จ่ายสำนักงาน</t>
        </is>
      </c>
      <c r="E104" s="6" t="inlineStr">
        <is>
          <t>ALL</t>
        </is>
      </c>
      <c r="F104" s="10" t="n">
        <v>0</v>
      </c>
      <c r="G104" s="10" t="n">
        <v>2000</v>
      </c>
      <c r="H104" s="10" t="n">
        <v>8323994.740000002</v>
      </c>
      <c r="I104" s="6" t="inlineStr">
        <is>
          <t>โอน</t>
        </is>
      </c>
    </row>
    <row r="105">
      <c r="A105" s="6" t="inlineStr">
        <is>
          <t>2568-12-01</t>
        </is>
      </c>
      <c r="B105" s="6" t="inlineStr">
        <is>
          <t>V-256812-0001</t>
        </is>
      </c>
      <c r="C105" s="6" t="inlineStr">
        <is>
          <t>หน่วยงานสำรวจประเมิน — ค่าประเมิน</t>
        </is>
      </c>
      <c r="D105" s="6" t="inlineStr">
        <is>
          <t>ค่าใช้จ่ายอื่น</t>
        </is>
      </c>
      <c r="E105" s="6" t="inlineStr">
        <is>
          <t>ALL</t>
        </is>
      </c>
      <c r="F105" s="10" t="n">
        <v>0</v>
      </c>
      <c r="G105" s="10" t="n">
        <v>1070</v>
      </c>
      <c r="H105" s="10" t="n">
        <v>8322924.740000002</v>
      </c>
      <c r="I105" s="6" t="inlineStr">
        <is>
          <t>โอน</t>
        </is>
      </c>
    </row>
    <row r="106">
      <c r="A106" s="6" t="inlineStr">
        <is>
          <t>2568-12-02</t>
        </is>
      </c>
      <c r="B106" s="6" t="inlineStr">
        <is>
          <t>V-256812-0002</t>
        </is>
      </c>
      <c r="C106" s="6" t="inlineStr">
        <is>
          <t>Changesea company limited — Boot page onevela</t>
        </is>
      </c>
      <c r="D106" s="6" t="inlineStr">
        <is>
          <t>ค่าโฆษณา-การตลาด</t>
        </is>
      </c>
      <c r="E106" s="6" t="inlineStr">
        <is>
          <t>ALL</t>
        </is>
      </c>
      <c r="F106" s="10" t="n">
        <v>0</v>
      </c>
      <c r="G106" s="10" t="n">
        <v>1230</v>
      </c>
      <c r="H106" s="10" t="n">
        <v>8321694.740000002</v>
      </c>
      <c r="I106" s="6" t="inlineStr">
        <is>
          <t>โอน</t>
        </is>
      </c>
    </row>
    <row r="107">
      <c r="A107" s="6" t="inlineStr">
        <is>
          <t>2568-12-04</t>
        </is>
      </c>
      <c r="B107" s="6" t="inlineStr">
        <is>
          <t>V-256812-0003</t>
        </is>
      </c>
      <c r="C107" s="6" t="inlineStr">
        <is>
          <t>วิชดา ระวังชัยสงค์ — ค่าพรม+เม้า+กระดาษA4 [เงินสดย่อยกมลชนก]</t>
        </is>
      </c>
      <c r="D107" s="6" t="inlineStr">
        <is>
          <t>ค่าใช้จ่ายสำนักงาน</t>
        </is>
      </c>
      <c r="E107" s="6" t="inlineStr">
        <is>
          <t>ALL</t>
        </is>
      </c>
      <c r="F107" s="10" t="n">
        <v>0</v>
      </c>
      <c r="G107" s="10" t="n">
        <v>1500</v>
      </c>
      <c r="H107" s="10" t="n">
        <v>8320194.740000002</v>
      </c>
      <c r="I107" s="6" t="inlineStr">
        <is>
          <t>โอน</t>
        </is>
      </c>
    </row>
    <row r="108">
      <c r="A108" s="6" t="inlineStr">
        <is>
          <t>2568-12-05</t>
        </is>
      </c>
      <c r="B108" s="6" t="inlineStr">
        <is>
          <t>V-256812-0004</t>
        </is>
      </c>
      <c r="C108" s="6" t="inlineStr">
        <is>
          <t>นางสาว ศิริรัตน์ กิจพรั่งพร้อม — ทำความสะอาดบ้านตย. [เงินสดย่อยกมลชนก]</t>
        </is>
      </c>
      <c r="D108" s="6" t="inlineStr">
        <is>
          <t>ค่าใช้จ่ายสำนักงาน</t>
        </is>
      </c>
      <c r="E108" s="6" t="inlineStr">
        <is>
          <t>ALL</t>
        </is>
      </c>
      <c r="F108" s="10" t="n">
        <v>0</v>
      </c>
      <c r="G108" s="10" t="n">
        <v>1200</v>
      </c>
      <c r="H108" s="10" t="n">
        <v>8318994.740000002</v>
      </c>
      <c r="I108" s="6" t="inlineStr">
        <is>
          <t>โอน</t>
        </is>
      </c>
    </row>
    <row r="109">
      <c r="A109" s="6" t="inlineStr">
        <is>
          <t>2568-12-06</t>
        </is>
      </c>
      <c r="B109" s="6" t="inlineStr">
        <is>
          <t>V-256812-0005</t>
        </is>
      </c>
      <c r="C109" s="6" t="inlineStr">
        <is>
          <t>นาย ธนการ อารีวิจิตรตระกูล — ค่าส่งแบตเตอรรี่รถกอล์ฟ [เงินสดย่อยกมลชนก]</t>
        </is>
      </c>
      <c r="D109" s="6" t="inlineStr">
        <is>
          <t>ค่าใช้จ่ายสำนักงาน</t>
        </is>
      </c>
      <c r="E109" s="6" t="inlineStr">
        <is>
          <t>ALL</t>
        </is>
      </c>
      <c r="F109" s="10" t="n">
        <v>0</v>
      </c>
      <c r="G109" s="10" t="n">
        <v>200</v>
      </c>
      <c r="H109" s="10" t="n">
        <v>8318794.740000002</v>
      </c>
      <c r="I109" s="6" t="inlineStr">
        <is>
          <t>โอน</t>
        </is>
      </c>
    </row>
    <row r="110">
      <c r="A110" s="6" t="inlineStr">
        <is>
          <t>2568-12-06</t>
        </is>
      </c>
      <c r="B110" s="6" t="inlineStr">
        <is>
          <t>V-256812-0006</t>
        </is>
      </c>
      <c r="C110" s="6" t="inlineStr">
        <is>
          <t>Mega Home — กรรไกร+รถเข็น [เงินสดย่อยกมลชนก]</t>
        </is>
      </c>
      <c r="D110" s="6" t="inlineStr">
        <is>
          <t>ค่าโฆษณา-การตลาด</t>
        </is>
      </c>
      <c r="E110" s="6" t="inlineStr">
        <is>
          <t>ALL</t>
        </is>
      </c>
      <c r="F110" s="10" t="n">
        <v>0</v>
      </c>
      <c r="G110" s="10" t="n">
        <v>1537.45</v>
      </c>
      <c r="H110" s="10" t="n">
        <v>8317257.290000002</v>
      </c>
      <c r="I110" s="6" t="inlineStr">
        <is>
          <t>โอน</t>
        </is>
      </c>
    </row>
    <row r="111">
      <c r="A111" s="6" t="inlineStr">
        <is>
          <t>2568-12-06</t>
        </is>
      </c>
      <c r="B111" s="6" t="inlineStr">
        <is>
          <t>V-256812-0007</t>
        </is>
      </c>
      <c r="C111" s="6" t="inlineStr">
        <is>
          <t>Index living mall — ชุดเก้าอี้ชมพูโต๊ะขาว [เงินสดย่อยกมลชนก]</t>
        </is>
      </c>
      <c r="D111" s="6" t="inlineStr">
        <is>
          <t>ค่าโฆษณา-การตลาด</t>
        </is>
      </c>
      <c r="E111" s="6" t="inlineStr">
        <is>
          <t>ALL</t>
        </is>
      </c>
      <c r="F111" s="10" t="n">
        <v>0</v>
      </c>
      <c r="G111" s="10" t="n">
        <v>6433</v>
      </c>
      <c r="H111" s="10" t="n">
        <v>8310824.290000002</v>
      </c>
      <c r="I111" s="6" t="inlineStr">
        <is>
          <t>โอน</t>
        </is>
      </c>
    </row>
    <row r="112">
      <c r="A112" s="6" t="inlineStr">
        <is>
          <t>2568-12-08</t>
        </is>
      </c>
      <c r="B112" s="6" t="inlineStr">
        <is>
          <t>V-256812-0008</t>
        </is>
      </c>
      <c r="C112" s="6" t="inlineStr">
        <is>
          <t>ศรีพโลค้าวัสดุ — ข้อต่อท่อซึม 6 ตัว</t>
        </is>
      </c>
      <c r="D112" s="6" t="inlineStr">
        <is>
          <t>ต้นทุนขาย-วัสดุก่อสร้าง</t>
        </is>
      </c>
      <c r="E112" s="6" t="inlineStr">
        <is>
          <t>ALL</t>
        </is>
      </c>
      <c r="F112" s="10" t="n">
        <v>0</v>
      </c>
      <c r="G112" s="10" t="n">
        <v>720</v>
      </c>
      <c r="H112" s="10" t="n">
        <v>8310104.290000002</v>
      </c>
      <c r="I112" s="6" t="inlineStr">
        <is>
          <t>เงินสด</t>
        </is>
      </c>
    </row>
    <row r="113">
      <c r="A113" s="6" t="inlineStr">
        <is>
          <t>2568-12-08</t>
        </is>
      </c>
      <c r="B113" s="6" t="inlineStr">
        <is>
          <t>V-256812-0009</t>
        </is>
      </c>
      <c r="C113" s="6" t="inlineStr">
        <is>
          <t>กรมสรรพากร — ภาษีทูบิวด์ [เงินสดย่อยกมลชนก]</t>
        </is>
      </c>
      <c r="D113" s="6" t="inlineStr">
        <is>
          <t>ค่าใช้จ่ายสำนักงาน</t>
        </is>
      </c>
      <c r="E113" s="6" t="inlineStr">
        <is>
          <t>ALL</t>
        </is>
      </c>
      <c r="F113" s="10" t="n">
        <v>0</v>
      </c>
      <c r="G113" s="10" t="n">
        <v>336</v>
      </c>
      <c r="H113" s="10" t="n">
        <v>8309768.290000002</v>
      </c>
      <c r="I113" s="6" t="inlineStr">
        <is>
          <t>โอน</t>
        </is>
      </c>
    </row>
    <row r="114">
      <c r="A114" s="6" t="inlineStr">
        <is>
          <t>2568-12-08</t>
        </is>
      </c>
      <c r="B114" s="6" t="inlineStr">
        <is>
          <t>V-256812-0010</t>
        </is>
      </c>
      <c r="C114" s="6" t="inlineStr">
        <is>
          <t>ว พานิช — อุปกรณ์แท่นตัดกระดาษ [เงินสดย่อยกมลชนก]</t>
        </is>
      </c>
      <c r="D114" s="6" t="inlineStr">
        <is>
          <t>ค่าใช้จ่ายสำนักงาน</t>
        </is>
      </c>
      <c r="E114" s="6" t="inlineStr">
        <is>
          <t>ALL</t>
        </is>
      </c>
      <c r="F114" s="10" t="n">
        <v>0</v>
      </c>
      <c r="G114" s="10" t="n">
        <v>1683</v>
      </c>
      <c r="H114" s="10" t="n">
        <v>8308085.290000002</v>
      </c>
      <c r="I114" s="6" t="inlineStr">
        <is>
          <t>โอน</t>
        </is>
      </c>
    </row>
    <row r="115">
      <c r="A115" s="6" t="inlineStr">
        <is>
          <t>2568-12-08</t>
        </is>
      </c>
      <c r="B115" s="6" t="inlineStr">
        <is>
          <t>V-256812-0011</t>
        </is>
      </c>
      <c r="C115" s="6" t="inlineStr">
        <is>
          <t>ว พานิช — อุปกรณ์แท่นตัดกระดาษ [เงินสดย่อยกมลชนก]</t>
        </is>
      </c>
      <c r="D115" s="6" t="inlineStr">
        <is>
          <t>ค่าใช้จ่ายสำนักงาน</t>
        </is>
      </c>
      <c r="E115" s="6" t="inlineStr">
        <is>
          <t>ALL</t>
        </is>
      </c>
      <c r="F115" s="10" t="n">
        <v>0</v>
      </c>
      <c r="G115" s="10" t="n">
        <v>196</v>
      </c>
      <c r="H115" s="10" t="n">
        <v>8307889.290000002</v>
      </c>
      <c r="I115" s="6" t="inlineStr">
        <is>
          <t>โอน</t>
        </is>
      </c>
    </row>
    <row r="116">
      <c r="A116" s="6" t="inlineStr">
        <is>
          <t>2568-12-08</t>
        </is>
      </c>
      <c r="B116" s="6" t="inlineStr">
        <is>
          <t>V-256812-0012</t>
        </is>
      </c>
      <c r="C116" s="6" t="inlineStr">
        <is>
          <t>วิชดา ระวังชัยสงค์ — ค่าพรม+เม้า+กระดาษA4 [เงินสดย่อยกมลชนก]</t>
        </is>
      </c>
      <c r="D116" s="6" t="inlineStr">
        <is>
          <t>ค่าใช้จ่ายสำนักงาน</t>
        </is>
      </c>
      <c r="E116" s="6" t="inlineStr">
        <is>
          <t>ALL</t>
        </is>
      </c>
      <c r="F116" s="10" t="n">
        <v>0</v>
      </c>
      <c r="G116" s="10" t="n">
        <v>294</v>
      </c>
      <c r="H116" s="10" t="n">
        <v>8307595.290000002</v>
      </c>
      <c r="I116" s="6" t="inlineStr">
        <is>
          <t>โอน</t>
        </is>
      </c>
    </row>
    <row r="117">
      <c r="A117" s="6" t="inlineStr">
        <is>
          <t>2568-12-08</t>
        </is>
      </c>
      <c r="B117" s="6" t="inlineStr">
        <is>
          <t>V-256812-0013</t>
        </is>
      </c>
      <c r="C117" s="6" t="inlineStr">
        <is>
          <t>บริษัท โรบินสัน จำกัด (มาหาชน) — มัดจำเช่าพื้นที่ [เงินสดย่อยกมลชนก]</t>
        </is>
      </c>
      <c r="D117" s="6" t="inlineStr">
        <is>
          <t>ค่าโฆษณา-การตลาด</t>
        </is>
      </c>
      <c r="E117" s="6" t="inlineStr">
        <is>
          <t>ALL</t>
        </is>
      </c>
      <c r="F117" s="10" t="n">
        <v>0</v>
      </c>
      <c r="G117" s="10" t="n">
        <v>5350</v>
      </c>
      <c r="H117" s="10" t="n">
        <v>8302245.290000002</v>
      </c>
      <c r="I117" s="6" t="inlineStr">
        <is>
          <t>โอน</t>
        </is>
      </c>
    </row>
    <row r="118">
      <c r="A118" s="6" t="inlineStr">
        <is>
          <t>2568-12-09</t>
        </is>
      </c>
      <c r="B118" s="6" t="inlineStr">
        <is>
          <t>V-256812-0014</t>
        </is>
      </c>
      <c r="C118" s="6" t="inlineStr">
        <is>
          <t>AIS แพ็กเกจเสริม — เน็ตไม่จำกัด นาน 7 วัน [เงินสดย่อยกมลชนก]</t>
        </is>
      </c>
      <c r="D118" s="6" t="inlineStr">
        <is>
          <t>ค่าใช้จ่ายสำนักงาน</t>
        </is>
      </c>
      <c r="E118" s="6" t="inlineStr">
        <is>
          <t>ALL</t>
        </is>
      </c>
      <c r="F118" s="10" t="n">
        <v>0</v>
      </c>
      <c r="G118" s="10" t="n">
        <v>235.4</v>
      </c>
      <c r="H118" s="10" t="n">
        <v>8302009.890000002</v>
      </c>
      <c r="I118" s="6" t="inlineStr">
        <is>
          <t>โอน</t>
        </is>
      </c>
    </row>
    <row r="119">
      <c r="A119" s="6" t="inlineStr">
        <is>
          <t>2568-12-09</t>
        </is>
      </c>
      <c r="B119" s="6" t="inlineStr">
        <is>
          <t>V-256812-0015</t>
        </is>
      </c>
      <c r="C119" s="6" t="inlineStr">
        <is>
          <t>การประปาส่วนภูมิภาค — ค่าน้ำ</t>
        </is>
      </c>
      <c r="D119" s="6" t="inlineStr">
        <is>
          <t>ค่าใช้จ่ายสำนักงาน</t>
        </is>
      </c>
      <c r="E119" s="6" t="inlineStr">
        <is>
          <t>ALL</t>
        </is>
      </c>
      <c r="F119" s="10" t="n">
        <v>0</v>
      </c>
      <c r="G119" s="10" t="n">
        <v>385.2</v>
      </c>
      <c r="H119" s="10" t="n">
        <v>8301624.690000001</v>
      </c>
      <c r="I119" s="6" t="inlineStr">
        <is>
          <t>โอน</t>
        </is>
      </c>
    </row>
    <row r="120">
      <c r="A120" s="6" t="inlineStr">
        <is>
          <t>2568-12-09</t>
        </is>
      </c>
      <c r="B120" s="6" t="inlineStr">
        <is>
          <t>V-256812-0016</t>
        </is>
      </c>
      <c r="C120" s="6" t="inlineStr">
        <is>
          <t>การประปาส่วนภูมิภาค — ค่าน้ำ</t>
        </is>
      </c>
      <c r="D120" s="6" t="inlineStr">
        <is>
          <t>ค่าใช้จ่ายสำนักงาน</t>
        </is>
      </c>
      <c r="E120" s="6" t="inlineStr">
        <is>
          <t>ALL</t>
        </is>
      </c>
      <c r="F120" s="10" t="n">
        <v>0</v>
      </c>
      <c r="G120" s="10" t="n">
        <v>10254.88</v>
      </c>
      <c r="H120" s="10" t="n">
        <v>8291369.810000001</v>
      </c>
      <c r="I120" s="6" t="inlineStr">
        <is>
          <t>โอน</t>
        </is>
      </c>
    </row>
    <row r="121">
      <c r="A121" s="6" t="inlineStr">
        <is>
          <t>2568-12-09</t>
        </is>
      </c>
      <c r="B121" s="6" t="inlineStr">
        <is>
          <t>V-256812-0017</t>
        </is>
      </c>
      <c r="C121" s="6" t="inlineStr">
        <is>
          <t>นายสมพร คชเวช — มัดจำรถแห่ [เงินสดย่อยกมลชนก หัก 3%]</t>
        </is>
      </c>
      <c r="D121" s="6" t="inlineStr">
        <is>
          <t>ค่าโฆษณา-การตลาด</t>
        </is>
      </c>
      <c r="E121" s="6" t="inlineStr">
        <is>
          <t>ALL</t>
        </is>
      </c>
      <c r="F121" s="10" t="n">
        <v>0</v>
      </c>
      <c r="G121" s="10" t="n">
        <v>7500</v>
      </c>
      <c r="H121" s="10" t="n">
        <v>8283869.810000001</v>
      </c>
      <c r="I121" s="6" t="inlineStr">
        <is>
          <t>โอน</t>
        </is>
      </c>
    </row>
    <row r="122">
      <c r="A122" s="6" t="inlineStr">
        <is>
          <t>2568-12-09</t>
        </is>
      </c>
      <c r="B122" s="6" t="inlineStr">
        <is>
          <t>V-256812-0018</t>
        </is>
      </c>
      <c r="C122" s="6" t="inlineStr">
        <is>
          <t>ชุนหลีแบตเตอรี่ — แบตเตอรี่ใหม่ [เงินสดย่อยบรรลือศักดิ์]</t>
        </is>
      </c>
      <c r="D122" s="6" t="inlineStr">
        <is>
          <t>ต้นทุนขาย-วัสดุก่อสร้าง</t>
        </is>
      </c>
      <c r="E122" s="6" t="inlineStr">
        <is>
          <t>ALL</t>
        </is>
      </c>
      <c r="F122" s="10" t="n">
        <v>0</v>
      </c>
      <c r="G122" s="10" t="n">
        <v>2350</v>
      </c>
      <c r="H122" s="10" t="n">
        <v>8281519.810000001</v>
      </c>
      <c r="I122" s="6" t="inlineStr">
        <is>
          <t>เงินสด</t>
        </is>
      </c>
    </row>
    <row r="123">
      <c r="A123" s="6" t="inlineStr">
        <is>
          <t>2568-12-09</t>
        </is>
      </c>
      <c r="B123" s="6" t="inlineStr">
        <is>
          <t>V-256812-0019</t>
        </is>
      </c>
      <c r="C123" s="6" t="inlineStr">
        <is>
          <t>ปตท. — ค่าน้ำมัน [เงินสดย่อยบรรลือศักดิ์]</t>
        </is>
      </c>
      <c r="D123" s="6" t="inlineStr">
        <is>
          <t>ต้นทุนขาย-วัสดุก่อสร้าง</t>
        </is>
      </c>
      <c r="E123" s="6" t="inlineStr">
        <is>
          <t>ALL</t>
        </is>
      </c>
      <c r="F123" s="10" t="n">
        <v>0</v>
      </c>
      <c r="G123" s="10" t="n">
        <v>2100</v>
      </c>
      <c r="H123" s="10" t="n">
        <v>8279419.810000001</v>
      </c>
      <c r="I123" s="6" t="inlineStr">
        <is>
          <t>เงินสด</t>
        </is>
      </c>
    </row>
    <row r="124">
      <c r="A124" s="6" t="inlineStr">
        <is>
          <t>2568-12-10</t>
        </is>
      </c>
      <c r="B124" s="6" t="inlineStr">
        <is>
          <t>V-256812-0020</t>
        </is>
      </c>
      <c r="C124" s="6" t="inlineStr">
        <is>
          <t>Meta ADS — ค่าAds [เงินสดย่อยกมลชนก]</t>
        </is>
      </c>
      <c r="D124" s="6" t="inlineStr">
        <is>
          <t>ค่าโฆษณา-การตลาด</t>
        </is>
      </c>
      <c r="E124" s="6" t="inlineStr">
        <is>
          <t>ALL</t>
        </is>
      </c>
      <c r="F124" s="10" t="n">
        <v>0</v>
      </c>
      <c r="G124" s="10" t="n">
        <v>3000</v>
      </c>
      <c r="H124" s="10" t="n">
        <v>8276419.810000001</v>
      </c>
      <c r="I124" s="6" t="inlineStr">
        <is>
          <t>โอน</t>
        </is>
      </c>
    </row>
    <row r="125">
      <c r="A125" s="6" t="inlineStr">
        <is>
          <t>2568-12-10</t>
        </is>
      </c>
      <c r="B125" s="6" t="inlineStr">
        <is>
          <t>V-256812-0021</t>
        </is>
      </c>
      <c r="C125" s="6" t="inlineStr">
        <is>
          <t>บริษัท โรบินสัน จำกัด (มาหาชน) — ค่าบริการเช่าพื้นที่ในห้าง 3 วัน [เงินสดย่อยกมลชนก]</t>
        </is>
      </c>
      <c r="D125" s="6" t="inlineStr">
        <is>
          <t>ค่าโฆษณา-การตลาด</t>
        </is>
      </c>
      <c r="E125" s="6" t="inlineStr">
        <is>
          <t>ALL</t>
        </is>
      </c>
      <c r="F125" s="10" t="n">
        <v>0</v>
      </c>
      <c r="G125" s="10" t="n">
        <v>8089.2</v>
      </c>
      <c r="H125" s="10" t="n">
        <v>8268330.610000001</v>
      </c>
      <c r="I125" s="6" t="inlineStr">
        <is>
          <t>โอน</t>
        </is>
      </c>
    </row>
    <row r="126">
      <c r="A126" s="6" t="inlineStr">
        <is>
          <t>2568-12-11</t>
        </is>
      </c>
      <c r="B126" s="6" t="inlineStr">
        <is>
          <t>V-256812-0022</t>
        </is>
      </c>
      <c r="C126" s="6" t="inlineStr">
        <is>
          <t>น้ำมัน Diesel — เติมน้ำมัน [เงินสดย่อยกมลชนก]</t>
        </is>
      </c>
      <c r="D126" s="6" t="inlineStr">
        <is>
          <t>ต้นทุนขาย-วัสดุก่อสร้าง</t>
        </is>
      </c>
      <c r="E126" s="6" t="inlineStr">
        <is>
          <t>ALL</t>
        </is>
      </c>
      <c r="F126" s="10" t="n">
        <v>0</v>
      </c>
      <c r="G126" s="10" t="n">
        <v>500</v>
      </c>
      <c r="H126" s="10" t="n">
        <v>8267830.610000001</v>
      </c>
      <c r="I126" s="6" t="inlineStr">
        <is>
          <t>โอน</t>
        </is>
      </c>
    </row>
    <row r="127">
      <c r="A127" s="6" t="inlineStr">
        <is>
          <t>2568-12-11</t>
        </is>
      </c>
      <c r="B127" s="6" t="inlineStr">
        <is>
          <t>V-256812-0023</t>
        </is>
      </c>
      <c r="C127" s="6" t="inlineStr">
        <is>
          <t>ชุนหลีแบตเตอรี่ — อัดไฟรถกอล์ฟ [เงินสดย่อยกมลชนก]</t>
        </is>
      </c>
      <c r="D127" s="6" t="inlineStr">
        <is>
          <t>ค่าใช้จ่ายสำนักงาน</t>
        </is>
      </c>
      <c r="E127" s="6" t="inlineStr">
        <is>
          <t>ALL</t>
        </is>
      </c>
      <c r="F127" s="10" t="n">
        <v>0</v>
      </c>
      <c r="G127" s="10" t="n">
        <v>800</v>
      </c>
      <c r="H127" s="10" t="n">
        <v>8267030.610000001</v>
      </c>
      <c r="I127" s="6" t="inlineStr">
        <is>
          <t>โอน</t>
        </is>
      </c>
    </row>
    <row r="128">
      <c r="A128" s="6" t="inlineStr">
        <is>
          <t>2568-12-11</t>
        </is>
      </c>
      <c r="B128" s="6" t="inlineStr">
        <is>
          <t>V-256812-0024</t>
        </is>
      </c>
      <c r="C128" s="6" t="inlineStr">
        <is>
          <t>ปตท. — ค่าน้ำมัน [เงินสดย่อยบรรลือศักดิ์]</t>
        </is>
      </c>
      <c r="D128" s="6" t="inlineStr">
        <is>
          <t>ต้นทุนขาย-วัสดุก่อสร้าง</t>
        </is>
      </c>
      <c r="E128" s="6" t="inlineStr">
        <is>
          <t>ALL</t>
        </is>
      </c>
      <c r="F128" s="10" t="n">
        <v>0</v>
      </c>
      <c r="G128" s="10" t="n">
        <v>1510</v>
      </c>
      <c r="H128" s="10" t="n">
        <v>8265520.610000001</v>
      </c>
      <c r="I128" s="6" t="inlineStr">
        <is>
          <t>เงินสด</t>
        </is>
      </c>
    </row>
    <row r="129">
      <c r="A129" s="6" t="inlineStr">
        <is>
          <t>2568-12-12</t>
        </is>
      </c>
      <c r="B129" s="6" t="inlineStr">
        <is>
          <t>V-256812-0025</t>
        </is>
      </c>
      <c r="C129" s="6" t="inlineStr">
        <is>
          <t>ปตท. — ค่าน้ำมัน [เงินสดย่อยบรรลือศักดิ์]</t>
        </is>
      </c>
      <c r="D129" s="6" t="inlineStr">
        <is>
          <t>ต้นทุนขาย-วัสดุก่อสร้าง</t>
        </is>
      </c>
      <c r="E129" s="6" t="inlineStr">
        <is>
          <t>ALL</t>
        </is>
      </c>
      <c r="F129" s="10" t="n">
        <v>0</v>
      </c>
      <c r="G129" s="10" t="n">
        <v>1500</v>
      </c>
      <c r="H129" s="10" t="n">
        <v>8264020.610000001</v>
      </c>
      <c r="I129" s="6" t="inlineStr">
        <is>
          <t>เงินสด</t>
        </is>
      </c>
    </row>
    <row r="130">
      <c r="A130" s="6" t="inlineStr">
        <is>
          <t>2568-12-13</t>
        </is>
      </c>
      <c r="B130" s="6" t="inlineStr">
        <is>
          <t>V-256812-0026</t>
        </is>
      </c>
      <c r="C130" s="6" t="inlineStr">
        <is>
          <t>UOB Credit card — ค่าบัตรเครดิตบริษัท</t>
        </is>
      </c>
      <c r="D130" s="6" t="inlineStr">
        <is>
          <t>ค่าใช้จ่ายอื่น</t>
        </is>
      </c>
      <c r="E130" s="6" t="inlineStr">
        <is>
          <t>ALL</t>
        </is>
      </c>
      <c r="F130" s="10" t="n">
        <v>0</v>
      </c>
      <c r="G130" s="10" t="n">
        <v>18645</v>
      </c>
      <c r="H130" s="10" t="n">
        <v>8245375.610000001</v>
      </c>
      <c r="I130" s="6" t="inlineStr">
        <is>
          <t>โอน</t>
        </is>
      </c>
    </row>
    <row r="131">
      <c r="A131" s="6" t="inlineStr">
        <is>
          <t>2568-12-15</t>
        </is>
      </c>
      <c r="B131" s="6" t="inlineStr">
        <is>
          <t>V-256812-0027</t>
        </is>
      </c>
      <c r="C131" s="6" t="inlineStr">
        <is>
          <t>ค่าจ้างน้องแจกโปรชัวร์2 วัน — ค่าจ้างน้องแจกโปรชัวร์2 วัน [เงินสดย่อยกมลชนก]</t>
        </is>
      </c>
      <c r="D131" s="6" t="inlineStr">
        <is>
          <t>ค่าโฆษณา-การตลาด</t>
        </is>
      </c>
      <c r="E131" s="6" t="inlineStr">
        <is>
          <t>ALL</t>
        </is>
      </c>
      <c r="F131" s="10" t="n">
        <v>0</v>
      </c>
      <c r="G131" s="10" t="n">
        <v>1600</v>
      </c>
      <c r="H131" s="10" t="n">
        <v>8243775.610000001</v>
      </c>
      <c r="I131" s="6" t="inlineStr">
        <is>
          <t>เงินสด</t>
        </is>
      </c>
    </row>
    <row r="132">
      <c r="A132" s="6" t="inlineStr">
        <is>
          <t>2568-12-15</t>
        </is>
      </c>
      <c r="B132" s="6" t="inlineStr">
        <is>
          <t>V-256812-0028</t>
        </is>
      </c>
      <c r="C132" s="6" t="inlineStr">
        <is>
          <t>น้าโก้ — ค่าน้ำมันขนขอกไปบูธโรบินสัน [เงินสดย่อยกมลชนก]</t>
        </is>
      </c>
      <c r="D132" s="6" t="inlineStr">
        <is>
          <t>ค่าโฆษณา-การตลาด</t>
        </is>
      </c>
      <c r="E132" s="6" t="inlineStr">
        <is>
          <t>ALL</t>
        </is>
      </c>
      <c r="F132" s="10" t="n">
        <v>0</v>
      </c>
      <c r="G132" s="10" t="n">
        <v>500</v>
      </c>
      <c r="H132" s="10" t="n">
        <v>8243275.610000001</v>
      </c>
      <c r="I132" s="6" t="inlineStr">
        <is>
          <t>เงินสด</t>
        </is>
      </c>
    </row>
    <row r="133">
      <c r="A133" s="6" t="inlineStr">
        <is>
          <t>2568-12-15</t>
        </is>
      </c>
      <c r="B133" s="6" t="inlineStr">
        <is>
          <t>V-256812-0029</t>
        </is>
      </c>
      <c r="C133" s="6" t="inlineStr">
        <is>
          <t>เบ็ตเตล็ดในบูธ — เบ็ตเตล็ดในบูธ [เงินสดย่อยกมลชนก]</t>
        </is>
      </c>
      <c r="D133" s="6" t="inlineStr">
        <is>
          <t>ค่าโฆษณา-การตลาด</t>
        </is>
      </c>
      <c r="E133" s="6" t="inlineStr">
        <is>
          <t>ALL</t>
        </is>
      </c>
      <c r="F133" s="10" t="n">
        <v>0</v>
      </c>
      <c r="G133" s="10" t="n">
        <v>1000</v>
      </c>
      <c r="H133" s="10" t="n">
        <v>8242275.610000001</v>
      </c>
      <c r="I133" s="6" t="inlineStr">
        <is>
          <t>เงินสด</t>
        </is>
      </c>
    </row>
    <row r="134">
      <c r="A134" s="6" t="inlineStr">
        <is>
          <t>2568-12-16</t>
        </is>
      </c>
      <c r="B134" s="6" t="inlineStr">
        <is>
          <t>V-256812-0030</t>
        </is>
      </c>
      <c r="C134" s="6" t="inlineStr">
        <is>
          <t>ปตท. — ค่าน้ำมัน [เงินสดย่อยบรรลือศักดิ์]</t>
        </is>
      </c>
      <c r="D134" s="6" t="inlineStr">
        <is>
          <t>ต้นทุนขาย-วัสดุก่อสร้าง</t>
        </is>
      </c>
      <c r="E134" s="6" t="inlineStr">
        <is>
          <t>ALL</t>
        </is>
      </c>
      <c r="F134" s="10" t="n">
        <v>0</v>
      </c>
      <c r="G134" s="10" t="n">
        <v>1500</v>
      </c>
      <c r="H134" s="10" t="n">
        <v>8240775.610000001</v>
      </c>
      <c r="I134" s="6" t="inlineStr">
        <is>
          <t>เงินสด</t>
        </is>
      </c>
    </row>
    <row r="135">
      <c r="A135" s="6" t="inlineStr">
        <is>
          <t>2568-12-16</t>
        </is>
      </c>
      <c r="B135" s="6" t="inlineStr">
        <is>
          <t>V-256812-0031</t>
        </is>
      </c>
      <c r="C135" s="6" t="inlineStr">
        <is>
          <t>นายสมพร คชเวช — รถแห่ [เงินสดย่อยกมลชนก หัก3%]</t>
        </is>
      </c>
      <c r="D135" s="6" t="inlineStr">
        <is>
          <t>ค่าโฆษณา-การตลาด</t>
        </is>
      </c>
      <c r="E135" s="6" t="inlineStr">
        <is>
          <t>ALL</t>
        </is>
      </c>
      <c r="F135" s="10" t="n">
        <v>0</v>
      </c>
      <c r="G135" s="10" t="n">
        <v>8700</v>
      </c>
      <c r="H135" s="10" t="n">
        <v>8232075.610000001</v>
      </c>
      <c r="I135" s="6" t="inlineStr">
        <is>
          <t>โอน</t>
        </is>
      </c>
    </row>
    <row r="136">
      <c r="A136" s="6" t="inlineStr">
        <is>
          <t>2568-12-16</t>
        </is>
      </c>
      <c r="B136" s="6" t="inlineStr">
        <is>
          <t>V-256812-0032</t>
        </is>
      </c>
      <c r="C136" s="6" t="inlineStr">
        <is>
          <t>ศรีพโลค้าวัสดุ — กาว [เงินสดย่อยบรรลือศักดิ์]</t>
        </is>
      </c>
      <c r="D136" s="6" t="inlineStr">
        <is>
          <t>ต้นทุนขาย-วัสดุก่อสร้าง</t>
        </is>
      </c>
      <c r="E136" s="6" t="inlineStr">
        <is>
          <t>ALL</t>
        </is>
      </c>
      <c r="F136" s="10" t="n">
        <v>0</v>
      </c>
      <c r="G136" s="10" t="n">
        <v>310</v>
      </c>
      <c r="H136" s="10" t="n">
        <v>8231765.610000001</v>
      </c>
      <c r="I136" s="6" t="inlineStr">
        <is>
          <t>เงินสด</t>
        </is>
      </c>
    </row>
    <row r="137">
      <c r="A137" s="6" t="inlineStr">
        <is>
          <t>2568-12-17</t>
        </is>
      </c>
      <c r="B137" s="6" t="inlineStr">
        <is>
          <t>V-256812-0033</t>
        </is>
      </c>
      <c r="C137" s="6" t="inlineStr">
        <is>
          <t>สด — สายยาง อุปกรณ์ช่าง [เงินสดย่อยบรรลือศักดิ์]</t>
        </is>
      </c>
      <c r="D137" s="6" t="inlineStr">
        <is>
          <t>ต้นทุนขาย-วัสดุก่อสร้าง</t>
        </is>
      </c>
      <c r="E137" s="6" t="inlineStr">
        <is>
          <t>ALL</t>
        </is>
      </c>
      <c r="F137" s="10" t="n">
        <v>0</v>
      </c>
      <c r="G137" s="10" t="n">
        <v>3200</v>
      </c>
      <c r="H137" s="10" t="n">
        <v>8228565.610000001</v>
      </c>
      <c r="I137" s="6" t="inlineStr">
        <is>
          <t>เงินสด</t>
        </is>
      </c>
    </row>
    <row r="138">
      <c r="A138" s="6" t="inlineStr">
        <is>
          <t>2568-12-18</t>
        </is>
      </c>
      <c r="B138" s="6" t="inlineStr">
        <is>
          <t>V-256812-0034</t>
        </is>
      </c>
      <c r="C138" s="6" t="inlineStr">
        <is>
          <t>สด — ไม้กวาดแข็ง [เงินสดย่อยบรรลือศักดิ์]</t>
        </is>
      </c>
      <c r="D138" s="6" t="inlineStr">
        <is>
          <t>ต้นทุนขาย-วัสดุก่อสร้าง</t>
        </is>
      </c>
      <c r="E138" s="6" t="inlineStr">
        <is>
          <t>ALL</t>
        </is>
      </c>
      <c r="F138" s="10" t="n">
        <v>0</v>
      </c>
      <c r="G138" s="10" t="n">
        <v>275</v>
      </c>
      <c r="H138" s="10" t="n">
        <v>8228290.610000001</v>
      </c>
      <c r="I138" s="6" t="inlineStr">
        <is>
          <t>เงินสด</t>
        </is>
      </c>
    </row>
    <row r="139">
      <c r="A139" s="6" t="inlineStr">
        <is>
          <t>2568-12-18</t>
        </is>
      </c>
      <c r="B139" s="6" t="inlineStr">
        <is>
          <t>V-256812-0035</t>
        </is>
      </c>
      <c r="C139" s="6" t="inlineStr">
        <is>
          <t>สด — สายผ้าใบ [เงินสดย่อยบรรลือศักดิ์]</t>
        </is>
      </c>
      <c r="D139" s="6" t="inlineStr">
        <is>
          <t>ต้นทุนขาย-วัสดุก่อสร้าง</t>
        </is>
      </c>
      <c r="E139" s="6" t="inlineStr">
        <is>
          <t>ALL</t>
        </is>
      </c>
      <c r="F139" s="10" t="n">
        <v>0</v>
      </c>
      <c r="G139" s="10" t="n">
        <v>1130</v>
      </c>
      <c r="H139" s="10" t="n">
        <v>8227160.610000001</v>
      </c>
      <c r="I139" s="6" t="inlineStr">
        <is>
          <t>เงินสด</t>
        </is>
      </c>
    </row>
    <row r="140">
      <c r="A140" s="6" t="inlineStr">
        <is>
          <t>2568-12-18</t>
        </is>
      </c>
      <c r="B140" s="6" t="inlineStr">
        <is>
          <t>V-256812-0036</t>
        </is>
      </c>
      <c r="C140" s="6" t="inlineStr">
        <is>
          <t>สด — อุปกรณ์ก่อสร้าง [เงินสดย่อยบรรลือศักดิ์]</t>
        </is>
      </c>
      <c r="D140" s="6" t="inlineStr">
        <is>
          <t>ต้นทุนขาย-วัสดุก่อสร้าง</t>
        </is>
      </c>
      <c r="E140" s="6" t="inlineStr">
        <is>
          <t>ALL</t>
        </is>
      </c>
      <c r="F140" s="10" t="n">
        <v>0</v>
      </c>
      <c r="G140" s="10" t="n">
        <v>129</v>
      </c>
      <c r="H140" s="10" t="n">
        <v>8227031.610000001</v>
      </c>
      <c r="I140" s="6" t="inlineStr">
        <is>
          <t>เงินสด</t>
        </is>
      </c>
    </row>
    <row r="141">
      <c r="A141" s="6" t="inlineStr">
        <is>
          <t>2568-12-18</t>
        </is>
      </c>
      <c r="B141" s="6" t="inlineStr">
        <is>
          <t>V-256812-0037</t>
        </is>
      </c>
      <c r="C141" s="6" t="inlineStr">
        <is>
          <t>การไฟฟ้าส่วนภูมิภาค — หม้อโครงการ</t>
        </is>
      </c>
      <c r="D141" s="6" t="inlineStr">
        <is>
          <t>ค่าน้ำ-ไฟ-โทรศัพท์</t>
        </is>
      </c>
      <c r="E141" s="6" t="inlineStr">
        <is>
          <t>ALL</t>
        </is>
      </c>
      <c r="F141" s="10" t="n">
        <v>0</v>
      </c>
      <c r="G141" s="10" t="n">
        <v>9083.129999999999</v>
      </c>
      <c r="H141" s="10" t="n">
        <v>8217948.480000001</v>
      </c>
      <c r="I141" s="6" t="inlineStr">
        <is>
          <t>โอน</t>
        </is>
      </c>
    </row>
    <row r="142">
      <c r="A142" s="6" t="inlineStr">
        <is>
          <t>2568-12-18</t>
        </is>
      </c>
      <c r="B142" s="6" t="inlineStr">
        <is>
          <t>V-256812-0038</t>
        </is>
      </c>
      <c r="C142" s="6" t="inlineStr">
        <is>
          <t>การไฟฟ้าส่วนภูมิภาค — หม้อแคมป์</t>
        </is>
      </c>
      <c r="D142" s="6" t="inlineStr">
        <is>
          <t>ค่าน้ำ-ไฟ-โทรศัพท์</t>
        </is>
      </c>
      <c r="E142" s="6" t="inlineStr">
        <is>
          <t>ALL</t>
        </is>
      </c>
      <c r="F142" s="10" t="n">
        <v>0</v>
      </c>
      <c r="G142" s="10" t="n">
        <v>4140.46</v>
      </c>
      <c r="H142" s="10" t="n">
        <v>8213808.020000001</v>
      </c>
      <c r="I142" s="6" t="inlineStr">
        <is>
          <t>โอน</t>
        </is>
      </c>
    </row>
    <row r="143">
      <c r="A143" s="6" t="inlineStr">
        <is>
          <t>2568-12-18</t>
        </is>
      </c>
      <c r="B143" s="6" t="inlineStr">
        <is>
          <t>V-256812-0039</t>
        </is>
      </c>
      <c r="C143" s="6" t="inlineStr">
        <is>
          <t>การไฟฟ้าส่วนภูมิภาค — หม้อติดคลองตำหรุ</t>
        </is>
      </c>
      <c r="D143" s="6" t="inlineStr">
        <is>
          <t>ค่าน้ำ-ไฟ-โทรศัพท์</t>
        </is>
      </c>
      <c r="E143" s="6" t="inlineStr">
        <is>
          <t>ALL</t>
        </is>
      </c>
      <c r="F143" s="10" t="n">
        <v>0</v>
      </c>
      <c r="G143" s="10" t="n">
        <v>5034.09</v>
      </c>
      <c r="H143" s="10" t="n">
        <v>8208773.930000002</v>
      </c>
      <c r="I143" s="6" t="inlineStr">
        <is>
          <t>โอน</t>
        </is>
      </c>
    </row>
    <row r="144">
      <c r="A144" s="6" t="inlineStr">
        <is>
          <t>2568-12-18</t>
        </is>
      </c>
      <c r="B144" s="6" t="inlineStr">
        <is>
          <t>V-256812-0040</t>
        </is>
      </c>
      <c r="C144" s="6" t="inlineStr">
        <is>
          <t>การไฟฟ้าส่วนภูมิภาค — หม้อบ้านตย.</t>
        </is>
      </c>
      <c r="D144" s="6" t="inlineStr">
        <is>
          <t>ค่าน้ำ-ไฟ-โทรศัพท์</t>
        </is>
      </c>
      <c r="E144" s="6" t="inlineStr">
        <is>
          <t>ALL</t>
        </is>
      </c>
      <c r="F144" s="10" t="n">
        <v>0</v>
      </c>
      <c r="G144" s="10" t="n">
        <v>141.5</v>
      </c>
      <c r="H144" s="10" t="n">
        <v>8208632.430000002</v>
      </c>
      <c r="I144" s="6" t="inlineStr">
        <is>
          <t>โอน</t>
        </is>
      </c>
    </row>
    <row r="145">
      <c r="A145" s="6" t="inlineStr">
        <is>
          <t>2568-12-18</t>
        </is>
      </c>
      <c r="B145" s="6" t="inlineStr">
        <is>
          <t>V-256812-0041</t>
        </is>
      </c>
      <c r="C145" s="6" t="inlineStr">
        <is>
          <t>นายพงศกร ดีแสน — เครื่องดื่มบริการลูกค้า</t>
        </is>
      </c>
      <c r="D145" s="6" t="inlineStr">
        <is>
          <t>ค่าโฆษณา-การตลาด</t>
        </is>
      </c>
      <c r="E145" s="6" t="inlineStr">
        <is>
          <t>ALL</t>
        </is>
      </c>
      <c r="F145" s="10" t="n">
        <v>0</v>
      </c>
      <c r="G145" s="10" t="n">
        <v>8121</v>
      </c>
      <c r="H145" s="10" t="n">
        <v>8200511.430000002</v>
      </c>
      <c r="I145" s="6" t="inlineStr">
        <is>
          <t>โอน</t>
        </is>
      </c>
    </row>
    <row r="146">
      <c r="A146" s="6" t="inlineStr">
        <is>
          <t>2568-12-18</t>
        </is>
      </c>
      <c r="B146" s="6" t="inlineStr">
        <is>
          <t>V-256812-0042</t>
        </is>
      </c>
      <c r="C146" s="6" t="inlineStr">
        <is>
          <t>นาย รัชชานนท์ ด้วงคงสุก — ค่าทำบัญชีพี่นนท์</t>
        </is>
      </c>
      <c r="D146" s="6" t="inlineStr">
        <is>
          <t>ค่าใช้จ่ายอื่น</t>
        </is>
      </c>
      <c r="E146" s="6" t="inlineStr">
        <is>
          <t>ALL</t>
        </is>
      </c>
      <c r="F146" s="10" t="n">
        <v>0</v>
      </c>
      <c r="G146" s="10" t="n">
        <v>4000</v>
      </c>
      <c r="H146" s="10" t="n">
        <v>8196511.430000002</v>
      </c>
      <c r="I146" s="6" t="inlineStr">
        <is>
          <t>โอน</t>
        </is>
      </c>
    </row>
    <row r="147">
      <c r="A147" s="6" t="inlineStr">
        <is>
          <t>2568-12-18</t>
        </is>
      </c>
      <c r="B147" s="6" t="inlineStr">
        <is>
          <t>V-256812-0043</t>
        </is>
      </c>
      <c r="C147" s="6" t="inlineStr">
        <is>
          <t>เอส เอส เซอร์วิส — ค่าเช่าเครื่องถ่ายเอกสาร</t>
        </is>
      </c>
      <c r="D147" s="6" t="inlineStr">
        <is>
          <t>ค่าใช้จ่ายสำนักงาน</t>
        </is>
      </c>
      <c r="E147" s="6" t="inlineStr">
        <is>
          <t>ALL</t>
        </is>
      </c>
      <c r="F147" s="10" t="n">
        <v>0</v>
      </c>
      <c r="G147" s="10" t="n">
        <v>1778.87</v>
      </c>
      <c r="H147" s="10" t="n">
        <v>8194732.560000001</v>
      </c>
      <c r="I147" s="6" t="inlineStr">
        <is>
          <t>โอน</t>
        </is>
      </c>
    </row>
    <row r="148">
      <c r="A148" s="6" t="inlineStr">
        <is>
          <t>2568-12-18</t>
        </is>
      </c>
      <c r="B148" s="6" t="inlineStr">
        <is>
          <t>V-256812-0044</t>
        </is>
      </c>
      <c r="C148" s="6" t="inlineStr">
        <is>
          <t>เอส เอส เซอร์วิส — ค่าเช่าเครื่องถ่ายเอกสาร</t>
        </is>
      </c>
      <c r="D148" s="6" t="inlineStr">
        <is>
          <t>ค่าใช้จ่ายสำนักงาน</t>
        </is>
      </c>
      <c r="E148" s="6" t="inlineStr">
        <is>
          <t>ALL</t>
        </is>
      </c>
      <c r="F148" s="10" t="n">
        <v>0</v>
      </c>
      <c r="G148" s="10" t="n">
        <v>1874.93</v>
      </c>
      <c r="H148" s="10" t="n">
        <v>8192857.630000002</v>
      </c>
      <c r="I148" s="6" t="inlineStr">
        <is>
          <t>โอน</t>
        </is>
      </c>
    </row>
    <row r="149">
      <c r="A149" s="6" t="inlineStr">
        <is>
          <t>2568-12-18</t>
        </is>
      </c>
      <c r="B149" s="6" t="inlineStr">
        <is>
          <t>V-256812-0045</t>
        </is>
      </c>
      <c r="C149" s="6" t="inlineStr">
        <is>
          <t>AIS ไฟเบอร์ — AIS ไฟเบอร์ [เงินสดย่อยกมลชนก]</t>
        </is>
      </c>
      <c r="D149" s="6" t="inlineStr">
        <is>
          <t>ค่าใช้จ่ายสำนักงาน</t>
        </is>
      </c>
      <c r="E149" s="6" t="inlineStr">
        <is>
          <t>ALL</t>
        </is>
      </c>
      <c r="F149" s="10" t="n">
        <v>0</v>
      </c>
      <c r="G149" s="10" t="n">
        <v>747.9299999999999</v>
      </c>
      <c r="H149" s="10" t="n">
        <v>8192109.700000002</v>
      </c>
      <c r="I149" s="6" t="inlineStr">
        <is>
          <t>โอน</t>
        </is>
      </c>
    </row>
    <row r="150">
      <c r="A150" s="6" t="inlineStr">
        <is>
          <t>2568-12-19</t>
        </is>
      </c>
      <c r="B150" s="6" t="inlineStr">
        <is>
          <t>V-256812-0046</t>
        </is>
      </c>
      <c r="C150" s="6" t="inlineStr">
        <is>
          <t>SCB งานสำรวจ — งานสำรวจค่าประเมิน [เงินสดย่อยกมลชนก]</t>
        </is>
      </c>
      <c r="D150" s="6" t="inlineStr">
        <is>
          <t>ค่าใช้จ่ายสำนักงาน</t>
        </is>
      </c>
      <c r="E150" s="6" t="inlineStr">
        <is>
          <t>ALL</t>
        </is>
      </c>
      <c r="F150" s="10" t="n">
        <v>0</v>
      </c>
      <c r="G150" s="10" t="n">
        <v>1070</v>
      </c>
      <c r="H150" s="10" t="n">
        <v>8191039.700000002</v>
      </c>
      <c r="I150" s="6" t="inlineStr">
        <is>
          <t>โอน</t>
        </is>
      </c>
    </row>
    <row r="151">
      <c r="A151" s="6" t="inlineStr">
        <is>
          <t>2568-12-19</t>
        </is>
      </c>
      <c r="B151" s="6" t="inlineStr">
        <is>
          <t>V-256812-0047</t>
        </is>
      </c>
      <c r="C151" s="6" t="inlineStr">
        <is>
          <t>ค่าบริการจัดบูธตลาดทองหลาง 3 วัน — ค่าบริการจัดบูธตลาดทองหลาง 3 วัน [เงินสดย่อยกมลชนก]</t>
        </is>
      </c>
      <c r="D151" s="6" t="inlineStr">
        <is>
          <t>ค่าโฆษณา-การตลาด</t>
        </is>
      </c>
      <c r="E151" s="6" t="inlineStr">
        <is>
          <t>ALL</t>
        </is>
      </c>
      <c r="F151" s="10" t="n">
        <v>0</v>
      </c>
      <c r="G151" s="10" t="n">
        <v>900</v>
      </c>
      <c r="H151" s="10" t="n">
        <v>8190139.700000002</v>
      </c>
      <c r="I151" s="6" t="inlineStr">
        <is>
          <t>เงินสด</t>
        </is>
      </c>
    </row>
    <row r="152">
      <c r="A152" s="6" t="inlineStr">
        <is>
          <t>2568-12-19</t>
        </is>
      </c>
      <c r="B152" s="6" t="inlineStr">
        <is>
          <t>V-256812-0048</t>
        </is>
      </c>
      <c r="C152" s="6" t="inlineStr">
        <is>
          <t>น้าโก้ — ค่าน้ำมันขนส่งน้าโก้ [เงินสดย่อยกมลชนก]</t>
        </is>
      </c>
      <c r="D152" s="6" t="inlineStr">
        <is>
          <t>ค่าโฆษณา-การตลาด</t>
        </is>
      </c>
      <c r="E152" s="6" t="inlineStr">
        <is>
          <t>ALL</t>
        </is>
      </c>
      <c r="F152" s="10" t="n">
        <v>0</v>
      </c>
      <c r="G152" s="10" t="n">
        <v>500</v>
      </c>
      <c r="H152" s="10" t="n">
        <v>8189639.700000002</v>
      </c>
      <c r="I152" s="6" t="inlineStr">
        <is>
          <t>เงินสด</t>
        </is>
      </c>
    </row>
    <row r="153">
      <c r="A153" s="6" t="inlineStr">
        <is>
          <t>2568-12-19</t>
        </is>
      </c>
      <c r="B153" s="6" t="inlineStr">
        <is>
          <t>V-256812-0049</t>
        </is>
      </c>
      <c r="C153" s="6" t="inlineStr">
        <is>
          <t>ค่าจ้างน้องแจกโปรชัวร์3 วัน — ค่าจ้างน้องแจกโปรชัวร์3 วัน [เงินสดย่อยกมลชนก]</t>
        </is>
      </c>
      <c r="D153" s="6" t="inlineStr">
        <is>
          <t>ค่าโฆษณา-การตลาด</t>
        </is>
      </c>
      <c r="E153" s="6" t="inlineStr">
        <is>
          <t>ALL</t>
        </is>
      </c>
      <c r="F153" s="10" t="n">
        <v>0</v>
      </c>
      <c r="G153" s="10" t="n">
        <v>1500</v>
      </c>
      <c r="H153" s="10" t="n">
        <v>8188139.700000002</v>
      </c>
      <c r="I153" s="6" t="inlineStr">
        <is>
          <t>เงินสด</t>
        </is>
      </c>
    </row>
    <row r="154">
      <c r="A154" s="6" t="inlineStr">
        <is>
          <t>2568-12-19</t>
        </is>
      </c>
      <c r="B154" s="6" t="inlineStr">
        <is>
          <t>V-256812-0050</t>
        </is>
      </c>
      <c r="C154" s="6" t="inlineStr">
        <is>
          <t>เบ็ตเตล็ดภายในบูธตลาดทองหลาง — เบ็ตเตล็ดภายในบูธตลาดทองหลาง [เงินสดย่อยกมลชนก]</t>
        </is>
      </c>
      <c r="D154" s="6" t="inlineStr">
        <is>
          <t>ค่าโฆษณา-การตลาด</t>
        </is>
      </c>
      <c r="E154" s="6" t="inlineStr">
        <is>
          <t>ALL</t>
        </is>
      </c>
      <c r="F154" s="10" t="n">
        <v>0</v>
      </c>
      <c r="G154" s="10" t="n">
        <v>1000</v>
      </c>
      <c r="H154" s="10" t="n">
        <v>8187139.700000002</v>
      </c>
      <c r="I154" s="6" t="inlineStr">
        <is>
          <t>เงินสด</t>
        </is>
      </c>
    </row>
    <row r="155">
      <c r="A155" s="6" t="inlineStr">
        <is>
          <t>2568-12-19</t>
        </is>
      </c>
      <c r="B155" s="6" t="inlineStr">
        <is>
          <t>V-256812-0051</t>
        </is>
      </c>
      <c r="C155" s="6" t="inlineStr">
        <is>
          <t>นัทและต้น — ค่าOTนัทต้น 3 วัน [เงินสดย่อยกมลชนก]</t>
        </is>
      </c>
      <c r="D155" s="6" t="inlineStr">
        <is>
          <t>ค่าโฆษณา-การตลาด</t>
        </is>
      </c>
      <c r="E155" s="6" t="inlineStr">
        <is>
          <t>ALL</t>
        </is>
      </c>
      <c r="F155" s="10" t="n">
        <v>0</v>
      </c>
      <c r="G155" s="10" t="n">
        <v>1200</v>
      </c>
      <c r="H155" s="10" t="n">
        <v>8185939.700000002</v>
      </c>
      <c r="I155" s="6" t="inlineStr">
        <is>
          <t>เงินสด</t>
        </is>
      </c>
    </row>
    <row r="156">
      <c r="A156" s="6" t="inlineStr">
        <is>
          <t>2568-12-19</t>
        </is>
      </c>
      <c r="B156" s="6" t="inlineStr">
        <is>
          <t>V-256812-0052</t>
        </is>
      </c>
      <c r="C156" s="6" t="inlineStr">
        <is>
          <t>ค่าน้ำมันไปจัดบูธ — ค่าน้ำมันไปจัดบูธ 3 วัน [เงินสดย่อยกมลชนก]</t>
        </is>
      </c>
      <c r="D156" s="6" t="inlineStr">
        <is>
          <t>ค่าโฆษณา-การตลาด</t>
        </is>
      </c>
      <c r="E156" s="6" t="inlineStr">
        <is>
          <t>ALL</t>
        </is>
      </c>
      <c r="F156" s="10" t="n">
        <v>0</v>
      </c>
      <c r="G156" s="10" t="n">
        <v>600</v>
      </c>
      <c r="H156" s="10" t="n">
        <v>8185339.700000002</v>
      </c>
      <c r="I156" s="6" t="inlineStr">
        <is>
          <t>เงินสด</t>
        </is>
      </c>
    </row>
    <row r="157">
      <c r="A157" s="6" t="inlineStr">
        <is>
          <t>2568-12-23</t>
        </is>
      </c>
      <c r="B157" s="6" t="inlineStr">
        <is>
          <t>V-256812-0053</t>
        </is>
      </c>
      <c r="C157" s="6" t="inlineStr">
        <is>
          <t>บริษัท เช้นจ์ซี จำกัด — Fastwork โปรโมทเว็บ [เงินสดย่อยกมลชนก]</t>
        </is>
      </c>
      <c r="D157" s="6" t="inlineStr">
        <is>
          <t>ค่าโฆษณา-การตลาด</t>
        </is>
      </c>
      <c r="E157" s="6" t="inlineStr">
        <is>
          <t>ALL</t>
        </is>
      </c>
      <c r="F157" s="10" t="n">
        <v>0</v>
      </c>
      <c r="G157" s="10" t="n">
        <v>1794</v>
      </c>
      <c r="H157" s="10" t="n">
        <v>8183545.700000002</v>
      </c>
      <c r="I157" s="6" t="inlineStr">
        <is>
          <t>โอน</t>
        </is>
      </c>
    </row>
    <row r="158">
      <c r="A158" s="6" t="inlineStr">
        <is>
          <t>2568-12-23</t>
        </is>
      </c>
      <c r="B158" s="6" t="inlineStr">
        <is>
          <t>V-256812-0054</t>
        </is>
      </c>
      <c r="C158" s="6" t="inlineStr">
        <is>
          <t>ศรีพโลค้าวัสดุ — เทปดำ กาว [เงินสดย่อยบรรลือศักดิ์]</t>
        </is>
      </c>
      <c r="D158" s="6" t="inlineStr">
        <is>
          <t>ต้นทุนขาย-วัสดุก่อสร้าง</t>
        </is>
      </c>
      <c r="E158" s="6" t="inlineStr">
        <is>
          <t>ALL</t>
        </is>
      </c>
      <c r="F158" s="10" t="n">
        <v>0</v>
      </c>
      <c r="G158" s="10" t="n">
        <v>3160</v>
      </c>
      <c r="H158" s="10" t="n">
        <v>8180385.700000002</v>
      </c>
      <c r="I158" s="6" t="inlineStr">
        <is>
          <t>เงินสด</t>
        </is>
      </c>
    </row>
    <row r="159">
      <c r="A159" s="6" t="inlineStr">
        <is>
          <t>2568-12-23</t>
        </is>
      </c>
      <c r="B159" s="6" t="inlineStr">
        <is>
          <t>V-256812-0055</t>
        </is>
      </c>
      <c r="C159" s="6" t="inlineStr">
        <is>
          <t>อาณาจักรของเก่า — โซ่ 3 หุน [เงินสดย่อยบรรลือศักดิ์]</t>
        </is>
      </c>
      <c r="D159" s="6" t="inlineStr">
        <is>
          <t>ต้นทุนขาย-วัสดุก่อสร้าง</t>
        </is>
      </c>
      <c r="E159" s="6" t="inlineStr">
        <is>
          <t>ALL</t>
        </is>
      </c>
      <c r="F159" s="10" t="n">
        <v>0</v>
      </c>
      <c r="G159" s="10" t="n">
        <v>1700</v>
      </c>
      <c r="H159" s="10" t="n">
        <v>8178685.700000002</v>
      </c>
      <c r="I159" s="6" t="inlineStr">
        <is>
          <t>เงินสด</t>
        </is>
      </c>
    </row>
    <row r="160">
      <c r="A160" s="6" t="inlineStr">
        <is>
          <t>2568-12-23</t>
        </is>
      </c>
      <c r="B160" s="6" t="inlineStr">
        <is>
          <t>V-256812-0056</t>
        </is>
      </c>
      <c r="C160" s="6" t="inlineStr">
        <is>
          <t>ปตท. — ค่าน้ำมัน [เงินสดย่อยบรรลือศักดิ์]</t>
        </is>
      </c>
      <c r="D160" s="6" t="inlineStr">
        <is>
          <t>ต้นทุนขาย-วัสดุก่อสร้าง</t>
        </is>
      </c>
      <c r="E160" s="6" t="inlineStr">
        <is>
          <t>ALL</t>
        </is>
      </c>
      <c r="F160" s="10" t="n">
        <v>0</v>
      </c>
      <c r="G160" s="10" t="n">
        <v>1500</v>
      </c>
      <c r="H160" s="10" t="n">
        <v>8177185.700000002</v>
      </c>
      <c r="I160" s="6" t="inlineStr">
        <is>
          <t>เงินสด</t>
        </is>
      </c>
    </row>
    <row r="161">
      <c r="A161" s="6" t="inlineStr">
        <is>
          <t>2568-12-23</t>
        </is>
      </c>
      <c r="B161" s="6" t="inlineStr">
        <is>
          <t>V-256812-0057</t>
        </is>
      </c>
      <c r="C161" s="6" t="inlineStr">
        <is>
          <t>บริษัท กังสดาล ค้าไม้ จำกัด — ท่อ PVC [เงินสดย่อยบรรลือศักดิ์]</t>
        </is>
      </c>
      <c r="D161" s="6" t="inlineStr">
        <is>
          <t>ต้นทุนขาย-วัสดุก่อสร้าง</t>
        </is>
      </c>
      <c r="E161" s="6" t="inlineStr">
        <is>
          <t>ALL</t>
        </is>
      </c>
      <c r="F161" s="10" t="n">
        <v>0</v>
      </c>
      <c r="G161" s="10" t="n">
        <v>7597</v>
      </c>
      <c r="H161" s="10" t="n">
        <v>8169588.700000002</v>
      </c>
      <c r="I161" s="6" t="inlineStr">
        <is>
          <t>เงินสด</t>
        </is>
      </c>
    </row>
    <row r="162">
      <c r="A162" s="6" t="inlineStr">
        <is>
          <t>2568-12-24</t>
        </is>
      </c>
      <c r="B162" s="6" t="inlineStr">
        <is>
          <t>V-256812-0058</t>
        </is>
      </c>
      <c r="C162" s="6" t="inlineStr">
        <is>
          <t>ศรีพโลค้าวัสดุ — ข้องอ 45 [เงินสดย่อยบรรลือศักดิ์]</t>
        </is>
      </c>
      <c r="D162" s="6" t="inlineStr">
        <is>
          <t>ต้นทุนขาย-วัสดุก่อสร้าง</t>
        </is>
      </c>
      <c r="E162" s="6" t="inlineStr">
        <is>
          <t>ALL</t>
        </is>
      </c>
      <c r="F162" s="10" t="n">
        <v>0</v>
      </c>
      <c r="G162" s="10" t="n">
        <v>360</v>
      </c>
      <c r="H162" s="10" t="n">
        <v>8169228.700000002</v>
      </c>
      <c r="I162" s="6" t="inlineStr">
        <is>
          <t>เงินสด</t>
        </is>
      </c>
    </row>
    <row r="163">
      <c r="A163" s="6" t="inlineStr">
        <is>
          <t>2568-12-24</t>
        </is>
      </c>
      <c r="B163" s="6" t="inlineStr">
        <is>
          <t>V-256812-0059</t>
        </is>
      </c>
      <c r="C163" s="6" t="inlineStr">
        <is>
          <t>นาย อรรถชัย การุญ — ป้ายร้านแจ้</t>
        </is>
      </c>
      <c r="D163" s="6" t="inlineStr">
        <is>
          <t>ค่าใช้จ่ายสำนักงาน</t>
        </is>
      </c>
      <c r="E163" s="6" t="inlineStr">
        <is>
          <t>ALL</t>
        </is>
      </c>
      <c r="F163" s="10" t="n">
        <v>0</v>
      </c>
      <c r="G163" s="10" t="n">
        <v>3860</v>
      </c>
      <c r="H163" s="10" t="n">
        <v>8165368.700000002</v>
      </c>
      <c r="I163" s="6" t="inlineStr">
        <is>
          <t>โอน</t>
        </is>
      </c>
    </row>
    <row r="164">
      <c r="A164" s="6" t="inlineStr">
        <is>
          <t>2568-12-24</t>
        </is>
      </c>
      <c r="B164" s="6" t="inlineStr">
        <is>
          <t>V-256812-0060</t>
        </is>
      </c>
      <c r="C164" s="6" t="inlineStr">
        <is>
          <t>บริษัท กังสดาล ค้าไม้ จำกัด — ข้องอ90 [เงินสดย่อยบรรลือศักดิ์]</t>
        </is>
      </c>
      <c r="D164" s="6" t="inlineStr">
        <is>
          <t>ต้นทุนขาย-วัสดุก่อสร้าง</t>
        </is>
      </c>
      <c r="E164" s="6" t="inlineStr">
        <is>
          <t>ALL</t>
        </is>
      </c>
      <c r="F164" s="10" t="n">
        <v>0</v>
      </c>
      <c r="G164" s="10" t="n">
        <v>642</v>
      </c>
      <c r="H164" s="10" t="n">
        <v>8164726.700000002</v>
      </c>
      <c r="I164" s="6" t="inlineStr">
        <is>
          <t>เงินสด</t>
        </is>
      </c>
    </row>
    <row r="165">
      <c r="A165" s="6" t="inlineStr">
        <is>
          <t>2568-12-24</t>
        </is>
      </c>
      <c r="B165" s="6" t="inlineStr">
        <is>
          <t>V-256812-0061</t>
        </is>
      </c>
      <c r="C165" s="6" t="inlineStr">
        <is>
          <t>ปตท. — ค่าน้ำมัน [เงินสดย่อยบรรลือศักดิ์]</t>
        </is>
      </c>
      <c r="D165" s="6" t="inlineStr">
        <is>
          <t>ต้นทุนขาย-วัสดุก่อสร้าง</t>
        </is>
      </c>
      <c r="E165" s="6" t="inlineStr">
        <is>
          <t>ALL</t>
        </is>
      </c>
      <c r="F165" s="10" t="n">
        <v>0</v>
      </c>
      <c r="G165" s="10" t="n">
        <v>1500</v>
      </c>
      <c r="H165" s="10" t="n">
        <v>8163226.700000002</v>
      </c>
      <c r="I165" s="6" t="inlineStr">
        <is>
          <t>เงินสด</t>
        </is>
      </c>
    </row>
    <row r="166">
      <c r="A166" s="6" t="inlineStr">
        <is>
          <t>2568-12-24</t>
        </is>
      </c>
      <c r="B166" s="6" t="inlineStr">
        <is>
          <t>V-256812-0062</t>
        </is>
      </c>
      <c r="C166" s="6" t="inlineStr">
        <is>
          <t>บริษัท พีดับเบิ้ลยูเอ็น จีเนียริ้ง</t>
        </is>
      </c>
      <c r="D166" s="6" t="inlineStr"/>
      <c r="E166" s="6" t="inlineStr">
        <is>
          <t>ALL</t>
        </is>
      </c>
      <c r="F166" s="10" t="n">
        <v>0</v>
      </c>
      <c r="G166" s="10" t="n">
        <v>850000</v>
      </c>
      <c r="H166" s="10" t="n">
        <v>7313226.700000002</v>
      </c>
      <c r="I166" s="6" t="inlineStr">
        <is>
          <t>เช็ค</t>
        </is>
      </c>
    </row>
    <row r="167">
      <c r="A167" s="6" t="inlineStr">
        <is>
          <t>2568-12-25</t>
        </is>
      </c>
      <c r="B167" s="6" t="inlineStr">
        <is>
          <t>V-256812-0063</t>
        </is>
      </c>
      <c r="C167" s="6" t="inlineStr">
        <is>
          <t>นาย อรรถชัย การุญ — ป้ายร้านแจ้ [เงินสดย่อยกมลชนก]</t>
        </is>
      </c>
      <c r="D167" s="6" t="inlineStr">
        <is>
          <t>ค่าใช้จ่ายสำนักงาน</t>
        </is>
      </c>
      <c r="E167" s="6" t="inlineStr">
        <is>
          <t>ALL</t>
        </is>
      </c>
      <c r="F167" s="10" t="n">
        <v>0</v>
      </c>
      <c r="G167" s="10" t="n">
        <v>11380</v>
      </c>
      <c r="H167" s="10" t="n">
        <v>7301846.700000002</v>
      </c>
      <c r="I167" s="6" t="inlineStr">
        <is>
          <t>โอน</t>
        </is>
      </c>
    </row>
    <row r="168">
      <c r="A168" s="6" t="inlineStr">
        <is>
          <t>2568-12-25</t>
        </is>
      </c>
      <c r="B168" s="6" t="inlineStr">
        <is>
          <t>V-256812-0064</t>
        </is>
      </c>
      <c r="C168" s="6" t="inlineStr">
        <is>
          <t>หจก.เพิ่มทรัพย์ค้าวัสดุ — คอนกรีต</t>
        </is>
      </c>
      <c r="D168" s="6" t="inlineStr">
        <is>
          <t>ต้นทุนขาย-วัสดุก่อสร้าง</t>
        </is>
      </c>
      <c r="E168" s="6" t="inlineStr">
        <is>
          <t>ALL</t>
        </is>
      </c>
      <c r="F168" s="10" t="n">
        <v>0</v>
      </c>
      <c r="G168" s="10" t="n">
        <v>92800</v>
      </c>
      <c r="H168" s="10" t="n">
        <v>7209046.700000002</v>
      </c>
      <c r="I168" s="6" t="inlineStr">
        <is>
          <t>เช็ค</t>
        </is>
      </c>
    </row>
    <row r="169">
      <c r="A169" s="6" t="inlineStr">
        <is>
          <t>2568-12-25</t>
        </is>
      </c>
      <c r="B169" s="6" t="inlineStr">
        <is>
          <t>V-256812-0065</t>
        </is>
      </c>
      <c r="C169" s="6" t="inlineStr">
        <is>
          <t>บริษัท ส.เจริญชัยค้าวัสดุก่อสร้าง — ค่าวัสดุก่อสร้าง</t>
        </is>
      </c>
      <c r="D169" s="6" t="inlineStr">
        <is>
          <t>ต้นทุนขาย-วัสดุก่อสร้าง</t>
        </is>
      </c>
      <c r="E169" s="6" t="inlineStr">
        <is>
          <t>ALL</t>
        </is>
      </c>
      <c r="F169" s="10" t="n">
        <v>0</v>
      </c>
      <c r="G169" s="10" t="n">
        <v>235143</v>
      </c>
      <c r="H169" s="10" t="n">
        <v>6973903.700000002</v>
      </c>
      <c r="I169" s="6" t="inlineStr">
        <is>
          <t>เช็ค</t>
        </is>
      </c>
    </row>
    <row r="170">
      <c r="A170" s="6" t="inlineStr">
        <is>
          <t>2568-12-25</t>
        </is>
      </c>
      <c r="B170" s="6" t="inlineStr">
        <is>
          <t>V-256812-0066</t>
        </is>
      </c>
      <c r="C170" s="6" t="inlineStr">
        <is>
          <t>ปตท. — ค่าน้ำมัน [เงินสดย่อยบรรลือศักดิ์]</t>
        </is>
      </c>
      <c r="D170" s="6" t="inlineStr">
        <is>
          <t>ต้นทุนขาย-วัสดุก่อสร้าง</t>
        </is>
      </c>
      <c r="E170" s="6" t="inlineStr">
        <is>
          <t>ALL</t>
        </is>
      </c>
      <c r="F170" s="10" t="n">
        <v>0</v>
      </c>
      <c r="G170" s="10" t="n">
        <v>500</v>
      </c>
      <c r="H170" s="10" t="n">
        <v>6973403.700000002</v>
      </c>
      <c r="I170" s="6" t="inlineStr">
        <is>
          <t>เงินสด</t>
        </is>
      </c>
    </row>
    <row r="171">
      <c r="A171" s="6" t="inlineStr">
        <is>
          <t>2568-12-26</t>
        </is>
      </c>
      <c r="B171" s="6" t="inlineStr">
        <is>
          <t>V-256812-0067</t>
        </is>
      </c>
      <c r="C171" s="6" t="inlineStr">
        <is>
          <t>ชลบุรี อึ้งย่งล้ง จำกัด — ค่าวัสดุก่อสร้าง</t>
        </is>
      </c>
      <c r="D171" s="6" t="inlineStr">
        <is>
          <t>ต้นทุนขาย-วัสดุก่อสร้าง</t>
        </is>
      </c>
      <c r="E171" s="6" t="inlineStr">
        <is>
          <t>ALL</t>
        </is>
      </c>
      <c r="F171" s="10" t="n">
        <v>0</v>
      </c>
      <c r="G171" s="10" t="n">
        <v>31405</v>
      </c>
      <c r="H171" s="10" t="n">
        <v>6941998.700000002</v>
      </c>
      <c r="I171" s="6" t="inlineStr">
        <is>
          <t>โอน</t>
        </is>
      </c>
    </row>
    <row r="172">
      <c r="A172" s="6" t="inlineStr">
        <is>
          <t>2568-12-29</t>
        </is>
      </c>
      <c r="B172" s="6" t="inlineStr">
        <is>
          <t>V-256812-0068</t>
        </is>
      </c>
      <c r="C172" s="6" t="inlineStr">
        <is>
          <t>วิชดา ระวังชัยสงค์ — OT งานบูธโรบินสัน [เงินสดย่อยกมลชนก]</t>
        </is>
      </c>
      <c r="D172" s="6" t="inlineStr">
        <is>
          <t>ค่าใช้จ่ายสำนักงาน</t>
        </is>
      </c>
      <c r="E172" s="6" t="inlineStr">
        <is>
          <t>ALL</t>
        </is>
      </c>
      <c r="F172" s="10" t="n">
        <v>0</v>
      </c>
      <c r="G172" s="10" t="n">
        <v>750</v>
      </c>
      <c r="H172" s="10" t="n">
        <v>6941248.700000002</v>
      </c>
      <c r="I172" s="6" t="inlineStr">
        <is>
          <t>โอน</t>
        </is>
      </c>
    </row>
    <row r="173">
      <c r="A173" s="6" t="inlineStr">
        <is>
          <t>2569-01-05</t>
        </is>
      </c>
      <c r="B173" s="6" t="inlineStr">
        <is>
          <t>V-256901-0001</t>
        </is>
      </c>
      <c r="C173" s="6" t="inlineStr">
        <is>
          <t>แฟลชเอ็กเพรส — ส่งเอกสารให้บัญชี [เงินสำรองกมลชนก]</t>
        </is>
      </c>
      <c r="D173" s="6" t="inlineStr">
        <is>
          <t>ค่าใช้จ่ายสำนักงาน</t>
        </is>
      </c>
      <c r="E173" s="6" t="inlineStr">
        <is>
          <t>ALL</t>
        </is>
      </c>
      <c r="F173" s="10" t="n">
        <v>0</v>
      </c>
      <c r="G173" s="10" t="n">
        <v>25</v>
      </c>
      <c r="H173" s="10" t="n">
        <v>6941223.700000002</v>
      </c>
      <c r="I173" s="6" t="inlineStr">
        <is>
          <t>โอน</t>
        </is>
      </c>
    </row>
    <row r="174">
      <c r="A174" s="6" t="inlineStr">
        <is>
          <t>2569-01-08</t>
        </is>
      </c>
      <c r="B174" s="6" t="inlineStr">
        <is>
          <t>V-256901-0002</t>
        </is>
      </c>
      <c r="C174" s="6" t="inlineStr">
        <is>
          <t>PEA การไฟฟ้า — ค่าธรรมเนียมขอใช้ไฟฟ้า [เงินสำรองกมลชนก]</t>
        </is>
      </c>
      <c r="D174" s="6" t="inlineStr">
        <is>
          <t>ค่าน้ำ-ไฟ-โทรศัพท์</t>
        </is>
      </c>
      <c r="E174" s="6" t="inlineStr">
        <is>
          <t>ALL</t>
        </is>
      </c>
      <c r="F174" s="10" t="n">
        <v>0</v>
      </c>
      <c r="G174" s="10" t="n">
        <v>5350</v>
      </c>
      <c r="H174" s="10" t="n">
        <v>6935873.700000002</v>
      </c>
      <c r="I174" s="6" t="inlineStr">
        <is>
          <t>โอน</t>
        </is>
      </c>
    </row>
    <row r="175">
      <c r="A175" s="6" t="inlineStr">
        <is>
          <t>2569-01-08</t>
        </is>
      </c>
      <c r="B175" s="6" t="inlineStr">
        <is>
          <t>V-256901-0003</t>
        </is>
      </c>
      <c r="C175" s="6" t="inlineStr">
        <is>
          <t>Mega Home — กระเบื้อง</t>
        </is>
      </c>
      <c r="D175" s="6" t="inlineStr">
        <is>
          <t>ต้นทุนขาย-วัสดุก่อสร้าง</t>
        </is>
      </c>
      <c r="E175" s="6" t="inlineStr">
        <is>
          <t>ALL</t>
        </is>
      </c>
      <c r="F175" s="10" t="n">
        <v>0</v>
      </c>
      <c r="G175" s="10" t="n">
        <v>61834</v>
      </c>
      <c r="H175" s="10" t="n">
        <v>6874039.700000002</v>
      </c>
      <c r="I175" s="6" t="inlineStr">
        <is>
          <t>บัตรเครดิต</t>
        </is>
      </c>
    </row>
    <row r="176">
      <c r="A176" s="6" t="inlineStr">
        <is>
          <t>2569-01-09</t>
        </is>
      </c>
      <c r="B176" s="6" t="inlineStr">
        <is>
          <t>V-256901-0004</t>
        </is>
      </c>
      <c r="C176" s="6" t="inlineStr">
        <is>
          <t>Mega Home — กระเบื้อง</t>
        </is>
      </c>
      <c r="D176" s="6" t="inlineStr">
        <is>
          <t>ต้นทุนขาย-วัสดุก่อสร้าง</t>
        </is>
      </c>
      <c r="E176" s="6" t="inlineStr">
        <is>
          <t>ALL</t>
        </is>
      </c>
      <c r="F176" s="10" t="n">
        <v>0</v>
      </c>
      <c r="G176" s="10" t="n">
        <v>7194.49</v>
      </c>
      <c r="H176" s="10" t="n">
        <v>6866845.210000002</v>
      </c>
      <c r="I176" s="6" t="inlineStr">
        <is>
          <t>บัตรเครดิต</t>
        </is>
      </c>
    </row>
    <row r="177">
      <c r="A177" s="6" t="inlineStr">
        <is>
          <t>2569-01-09</t>
        </is>
      </c>
      <c r="B177" s="6" t="inlineStr">
        <is>
          <t>V-256901-0005</t>
        </is>
      </c>
      <c r="C177" s="6" t="inlineStr">
        <is>
          <t>ปตท. — ค่าน้ำมัน [เงินสำรองกมลชนก]</t>
        </is>
      </c>
      <c r="D177" s="6" t="inlineStr">
        <is>
          <t>ค่าใช้จ่ายอื่น</t>
        </is>
      </c>
      <c r="E177" s="6" t="inlineStr">
        <is>
          <t>ALL</t>
        </is>
      </c>
      <c r="F177" s="10" t="n">
        <v>0</v>
      </c>
      <c r="G177" s="10" t="n">
        <v>1500</v>
      </c>
      <c r="H177" s="10" t="n">
        <v>6865345.210000002</v>
      </c>
      <c r="I177" s="6" t="inlineStr">
        <is>
          <t>โอน</t>
        </is>
      </c>
    </row>
    <row r="178">
      <c r="A178" s="6" t="inlineStr">
        <is>
          <t>2569-01-09</t>
        </is>
      </c>
      <c r="B178" s="6" t="inlineStr">
        <is>
          <t>V-256901-0006</t>
        </is>
      </c>
      <c r="C178" s="6" t="inlineStr">
        <is>
          <t>ปตท. — ค่าแรงคนงานเฝ้าโครงการ [เงินสำรองกมลชนก]</t>
        </is>
      </c>
      <c r="D178" s="6" t="inlineStr">
        <is>
          <t>ค่าใช้จ่ายอื่น</t>
        </is>
      </c>
      <c r="E178" s="6" t="inlineStr">
        <is>
          <t>ALL</t>
        </is>
      </c>
      <c r="F178" s="10" t="n">
        <v>0</v>
      </c>
      <c r="G178" s="10" t="n">
        <v>4000</v>
      </c>
      <c r="H178" s="10" t="n">
        <v>6861345.210000002</v>
      </c>
      <c r="I178" s="6" t="inlineStr">
        <is>
          <t>โอน</t>
        </is>
      </c>
    </row>
    <row r="179">
      <c r="A179" s="6" t="inlineStr">
        <is>
          <t>2569-01-09</t>
        </is>
      </c>
      <c r="B179" s="6" t="inlineStr">
        <is>
          <t>V-256901-0007</t>
        </is>
      </c>
      <c r="C179" s="6" t="inlineStr">
        <is>
          <t>การไฟฟ้าส่วนภูมิภาค — ค่าไฟ</t>
        </is>
      </c>
      <c r="D179" s="6" t="inlineStr">
        <is>
          <t>ค่าน้ำ-ไฟ-โทรศัพท์</t>
        </is>
      </c>
      <c r="E179" s="6" t="inlineStr">
        <is>
          <t>ALL</t>
        </is>
      </c>
      <c r="F179" s="10" t="n">
        <v>0</v>
      </c>
      <c r="G179" s="10" t="n">
        <v>18623.74</v>
      </c>
      <c r="H179" s="10" t="n">
        <v>6842721.470000002</v>
      </c>
      <c r="I179" s="6" t="inlineStr">
        <is>
          <t>โอน</t>
        </is>
      </c>
    </row>
    <row r="180">
      <c r="A180" s="6" t="inlineStr">
        <is>
          <t>2569-01-09</t>
        </is>
      </c>
      <c r="B180" s="6" t="inlineStr">
        <is>
          <t>V-256901-0008</t>
        </is>
      </c>
      <c r="C180" s="6" t="inlineStr">
        <is>
          <t>นายพงศกร ดีแสน — ค่าน้ำบริการลูกค้า</t>
        </is>
      </c>
      <c r="D180" s="6" t="inlineStr">
        <is>
          <t>ค่าโฆษณา-การตลาด</t>
        </is>
      </c>
      <c r="E180" s="6" t="inlineStr">
        <is>
          <t>ALL</t>
        </is>
      </c>
      <c r="F180" s="10" t="n">
        <v>0</v>
      </c>
      <c r="G180" s="10" t="n">
        <v>7654</v>
      </c>
      <c r="H180" s="10" t="n">
        <v>6835067.470000002</v>
      </c>
      <c r="I180" s="6" t="inlineStr">
        <is>
          <t>โอน</t>
        </is>
      </c>
    </row>
    <row r="181">
      <c r="A181" s="6" t="inlineStr">
        <is>
          <t>2569-01-14</t>
        </is>
      </c>
      <c r="B181" s="6" t="inlineStr">
        <is>
          <t>V-256901-0009</t>
        </is>
      </c>
      <c r="C181" s="6" t="inlineStr">
        <is>
          <t>น.ส.จิรวดี เม้ากำเหนิด — ค่าแคมป์คนงาน</t>
        </is>
      </c>
      <c r="D181" s="6" t="inlineStr">
        <is>
          <t>ต้นทุนขาย-วัสดุก่อสร้าง</t>
        </is>
      </c>
      <c r="E181" s="6" t="inlineStr">
        <is>
          <t>ALL</t>
        </is>
      </c>
      <c r="F181" s="10" t="n">
        <v>0</v>
      </c>
      <c r="G181" s="10" t="n">
        <v>49155</v>
      </c>
      <c r="H181" s="10" t="n">
        <v>6785912.470000002</v>
      </c>
      <c r="I181" s="6" t="inlineStr">
        <is>
          <t>โอน</t>
        </is>
      </c>
    </row>
    <row r="182">
      <c r="A182" s="6" t="inlineStr">
        <is>
          <t>2569-01-14</t>
        </is>
      </c>
      <c r="B182" s="6" t="inlineStr">
        <is>
          <t>V-256901-0010</t>
        </is>
      </c>
      <c r="C182" s="6" t="inlineStr">
        <is>
          <t>กังสดานค้าไม้ — ค่าแคมป์คนงาน</t>
        </is>
      </c>
      <c r="D182" s="6" t="inlineStr">
        <is>
          <t>ต้นทุนขาย-วัสดุก่อสร้าง</t>
        </is>
      </c>
      <c r="E182" s="6" t="inlineStr">
        <is>
          <t>ALL</t>
        </is>
      </c>
      <c r="F182" s="10" t="n">
        <v>0</v>
      </c>
      <c r="G182" s="10" t="n">
        <v>4135.55</v>
      </c>
      <c r="H182" s="10" t="n">
        <v>6781776.920000002</v>
      </c>
      <c r="I182" s="6" t="inlineStr">
        <is>
          <t>โอน</t>
        </is>
      </c>
    </row>
    <row r="183">
      <c r="A183" s="6" t="inlineStr">
        <is>
          <t>2569-01-14</t>
        </is>
      </c>
      <c r="B183" s="6" t="inlineStr">
        <is>
          <t>V-256901-0011</t>
        </is>
      </c>
      <c r="C183" s="6" t="inlineStr">
        <is>
          <t>บจก.ชลบุรีอึ้งย่งล้ง — วัสดุก่อสร้าง</t>
        </is>
      </c>
      <c r="D183" s="6" t="inlineStr">
        <is>
          <t>ต้นทุนขาย-วัสดุก่อสร้าง</t>
        </is>
      </c>
      <c r="E183" s="6" t="inlineStr">
        <is>
          <t>ALL</t>
        </is>
      </c>
      <c r="F183" s="10" t="n">
        <v>0</v>
      </c>
      <c r="G183" s="10" t="n">
        <v>273520.1</v>
      </c>
      <c r="H183" s="10" t="n">
        <v>6508256.820000002</v>
      </c>
      <c r="I183" s="6" t="inlineStr">
        <is>
          <t>โอน</t>
        </is>
      </c>
    </row>
    <row r="184">
      <c r="A184" s="6" t="inlineStr">
        <is>
          <t>2569-01-15</t>
        </is>
      </c>
      <c r="B184" s="6" t="inlineStr">
        <is>
          <t>V-256901-0012</t>
        </is>
      </c>
      <c r="C184" s="6" t="inlineStr">
        <is>
          <t>บริษัท แฟมิลี่เครน จำกัด — ค่าเครนยกแผ่นปูน</t>
        </is>
      </c>
      <c r="D184" s="6" t="inlineStr">
        <is>
          <t>ต้นทุนขาย-วัสดุก่อสร้าง</t>
        </is>
      </c>
      <c r="E184" s="6" t="inlineStr">
        <is>
          <t>ALL</t>
        </is>
      </c>
      <c r="F184" s="10" t="n">
        <v>0</v>
      </c>
      <c r="G184" s="10" t="n">
        <v>13000</v>
      </c>
      <c r="H184" s="10" t="n">
        <v>6495256.820000002</v>
      </c>
      <c r="I184" s="6" t="inlineStr">
        <is>
          <t>โอน</t>
        </is>
      </c>
    </row>
    <row r="185">
      <c r="A185" s="6" t="inlineStr">
        <is>
          <t>2569-01-15</t>
        </is>
      </c>
      <c r="B185" s="6" t="inlineStr">
        <is>
          <t>V-256901-0013</t>
        </is>
      </c>
      <c r="C185" s="6" t="inlineStr">
        <is>
          <t>บ้านไม้ยูคา — ค่าไม้ทำแคมป์</t>
        </is>
      </c>
      <c r="D185" s="6" t="inlineStr">
        <is>
          <t>ต้นทุนขาย-วัสดุก่อสร้าง</t>
        </is>
      </c>
      <c r="E185" s="6" t="inlineStr">
        <is>
          <t>ALL</t>
        </is>
      </c>
      <c r="F185" s="10" t="n">
        <v>0</v>
      </c>
      <c r="G185" s="10" t="n">
        <v>5400</v>
      </c>
      <c r="H185" s="10" t="n">
        <v>6489856.820000002</v>
      </c>
      <c r="I185" s="6" t="inlineStr">
        <is>
          <t>โอน</t>
        </is>
      </c>
    </row>
    <row r="186">
      <c r="A186" s="6" t="inlineStr">
        <is>
          <t>2569-01-16</t>
        </is>
      </c>
      <c r="B186" s="6" t="inlineStr">
        <is>
          <t>V-256901-0014</t>
        </is>
      </c>
      <c r="C186" s="6" t="inlineStr">
        <is>
          <t>เอส เอส เซอร์วิส — เครื่องปริ้น [เงินสำรองกมลชนก]</t>
        </is>
      </c>
      <c r="D186" s="6" t="inlineStr">
        <is>
          <t>ค่าใช้จ่ายสำนักงาน</t>
        </is>
      </c>
      <c r="E186" s="6" t="inlineStr">
        <is>
          <t>ALL</t>
        </is>
      </c>
      <c r="F186" s="10" t="n">
        <v>0</v>
      </c>
      <c r="G186" s="10" t="n">
        <v>1853.85</v>
      </c>
      <c r="H186" s="10" t="n">
        <v>6488002.970000003</v>
      </c>
      <c r="I186" s="6" t="inlineStr">
        <is>
          <t>โอน</t>
        </is>
      </c>
    </row>
    <row r="187">
      <c r="A187" s="6" t="inlineStr">
        <is>
          <t>2569-01-16</t>
        </is>
      </c>
      <c r="B187" s="6" t="inlineStr">
        <is>
          <t>V-256901-0015</t>
        </is>
      </c>
      <c r="C187" s="6" t="inlineStr">
        <is>
          <t>บจก.จอร์จสตัน เซอร์วิส กรุ๊ป — เดินท่อปลวก159-165</t>
        </is>
      </c>
      <c r="D187" s="6" t="inlineStr">
        <is>
          <t>ต้นทุนขาย-วัสดุก่อสร้าง</t>
        </is>
      </c>
      <c r="E187" s="6" t="inlineStr">
        <is>
          <t>ALL</t>
        </is>
      </c>
      <c r="F187" s="10" t="n">
        <v>0</v>
      </c>
      <c r="G187" s="10" t="n">
        <v>29960</v>
      </c>
      <c r="H187" s="10" t="n">
        <v>6458042.970000003</v>
      </c>
      <c r="I187" s="6" t="inlineStr">
        <is>
          <t>โอน</t>
        </is>
      </c>
    </row>
    <row r="188">
      <c r="A188" s="6" t="inlineStr">
        <is>
          <t>2569-01-17</t>
        </is>
      </c>
      <c r="B188" s="6" t="inlineStr">
        <is>
          <t>V-256901-0016</t>
        </is>
      </c>
      <c r="C188" s="6" t="inlineStr">
        <is>
          <t>ทูซีทูพี — ADS มกราคม 2569 [เงินสำรองกมลชนก]</t>
        </is>
      </c>
      <c r="D188" s="6" t="inlineStr">
        <is>
          <t>ค่าโฆษณา-การตลาด</t>
        </is>
      </c>
      <c r="E188" s="6" t="inlineStr">
        <is>
          <t>ALL</t>
        </is>
      </c>
      <c r="F188" s="10" t="n">
        <v>0</v>
      </c>
      <c r="G188" s="10" t="n">
        <v>3000</v>
      </c>
      <c r="H188" s="10" t="n">
        <v>6455042.970000003</v>
      </c>
      <c r="I188" s="6" t="inlineStr">
        <is>
          <t>โอน</t>
        </is>
      </c>
    </row>
    <row r="189">
      <c r="A189" s="6" t="inlineStr">
        <is>
          <t>2569-01-18</t>
        </is>
      </c>
      <c r="B189" s="6" t="inlineStr">
        <is>
          <t>V-256901-0017</t>
        </is>
      </c>
      <c r="C189" s="6" t="inlineStr">
        <is>
          <t>บริษัท เอ็ส เอ็ม ดิจิทัลมาร์เก็ตติ้ง — Marketing [เงินสำรองกมลชนก]</t>
        </is>
      </c>
      <c r="D189" s="6" t="inlineStr">
        <is>
          <t>ค่าโฆษณา-การตลาด</t>
        </is>
      </c>
      <c r="E189" s="6" t="inlineStr">
        <is>
          <t>ALL</t>
        </is>
      </c>
      <c r="F189" s="10" t="n">
        <v>0</v>
      </c>
      <c r="G189" s="10" t="n">
        <v>840</v>
      </c>
      <c r="H189" s="10" t="n">
        <v>6454202.970000003</v>
      </c>
      <c r="I189" s="6" t="inlineStr">
        <is>
          <t>โอน</t>
        </is>
      </c>
    </row>
    <row r="190">
      <c r="A190" s="6" t="inlineStr">
        <is>
          <t>2569-01-18</t>
        </is>
      </c>
      <c r="B190" s="6" t="inlineStr">
        <is>
          <t>V-256901-0018</t>
        </is>
      </c>
      <c r="C190" s="6" t="inlineStr">
        <is>
          <t>นาย นันทวัฒน์ สิมมาลา — งานรั้วเหล็ก [เงินสำรองกมลชนก]</t>
        </is>
      </c>
      <c r="D190" s="6" t="inlineStr">
        <is>
          <t>ต้นทุนขาย-วัสดุก่อสร้าง</t>
        </is>
      </c>
      <c r="E190" s="6" t="inlineStr">
        <is>
          <t>ALL</t>
        </is>
      </c>
      <c r="F190" s="10" t="n">
        <v>0</v>
      </c>
      <c r="G190" s="10" t="n">
        <v>7357</v>
      </c>
      <c r="H190" s="10" t="n">
        <v>6446845.970000003</v>
      </c>
      <c r="I190" s="6" t="inlineStr">
        <is>
          <t>โอน</t>
        </is>
      </c>
    </row>
    <row r="191">
      <c r="A191" s="6" t="inlineStr">
        <is>
          <t>2569-01-18</t>
        </is>
      </c>
      <c r="B191" s="6" t="inlineStr">
        <is>
          <t>V-256901-0019</t>
        </is>
      </c>
      <c r="C191" s="6" t="inlineStr">
        <is>
          <t>ภิญภัทปิโตเลียม 2010 — เติมน้ำมัน [เงินสำรองกมลชนก]</t>
        </is>
      </c>
      <c r="D191" s="6" t="inlineStr">
        <is>
          <t>ค่าน้ำ-ไฟ-โทรศัพท์</t>
        </is>
      </c>
      <c r="E191" s="6" t="inlineStr">
        <is>
          <t>ALL</t>
        </is>
      </c>
      <c r="F191" s="10" t="n">
        <v>0</v>
      </c>
      <c r="G191" s="10" t="n">
        <v>500</v>
      </c>
      <c r="H191" s="10" t="n">
        <v>6446345.970000003</v>
      </c>
      <c r="I191" s="6" t="inlineStr">
        <is>
          <t>โอน</t>
        </is>
      </c>
    </row>
    <row r="192">
      <c r="A192" s="6" t="inlineStr">
        <is>
          <t>2569-01-22</t>
        </is>
      </c>
      <c r="B192" s="6" t="inlineStr">
        <is>
          <t>V-256901-0020</t>
        </is>
      </c>
      <c r="C192" s="6" t="inlineStr">
        <is>
          <t>คุงเจริญ — เหล็ก ลวดเชื่อม ใบตัดเหล็ก</t>
        </is>
      </c>
      <c r="D192" s="6" t="inlineStr">
        <is>
          <t>ต้นทุนขาย-วัสดุก่อสร้าง</t>
        </is>
      </c>
      <c r="E192" s="6" t="inlineStr">
        <is>
          <t>ALL</t>
        </is>
      </c>
      <c r="F192" s="10" t="n">
        <v>0</v>
      </c>
      <c r="G192" s="10" t="n">
        <v>105360</v>
      </c>
      <c r="H192" s="10" t="n">
        <v>6340985.970000003</v>
      </c>
      <c r="I192" s="6" t="inlineStr">
        <is>
          <t>เครดิต</t>
        </is>
      </c>
    </row>
    <row r="193">
      <c r="A193" s="6" t="inlineStr">
        <is>
          <t>2569-01-22</t>
        </is>
      </c>
      <c r="B193" s="6" t="inlineStr">
        <is>
          <t>V-256901-0021</t>
        </is>
      </c>
      <c r="C193" s="6" t="inlineStr">
        <is>
          <t>คุงเจริญ — เหล็ก ลวดเชื่อม ใบตัดเหล็ก</t>
        </is>
      </c>
      <c r="D193" s="6" t="inlineStr">
        <is>
          <t>ต้นทุนขาย-วัสดุก่อสร้าง</t>
        </is>
      </c>
      <c r="E193" s="6" t="inlineStr">
        <is>
          <t>ALL</t>
        </is>
      </c>
      <c r="F193" s="10" t="n">
        <v>0</v>
      </c>
      <c r="G193" s="10" t="n">
        <v>151940</v>
      </c>
      <c r="H193" s="10" t="n">
        <v>6189045.970000003</v>
      </c>
      <c r="I193" s="6" t="inlineStr">
        <is>
          <t>เครดิต</t>
        </is>
      </c>
    </row>
    <row r="194">
      <c r="A194" s="6" t="inlineStr">
        <is>
          <t>2569-01-23</t>
        </is>
      </c>
      <c r="B194" s="6" t="inlineStr">
        <is>
          <t>V-256901-0022</t>
        </is>
      </c>
      <c r="C194" s="6" t="inlineStr">
        <is>
          <t>เทศบาลตำบลคลองตำหรุ — ค่าปรับภาษีป้ายรายทาง</t>
        </is>
      </c>
      <c r="D194" s="6" t="inlineStr">
        <is>
          <t>ค่าใช้จ่ายสำนักงาน</t>
        </is>
      </c>
      <c r="E194" s="6" t="inlineStr">
        <is>
          <t>ALL</t>
        </is>
      </c>
      <c r="F194" s="10" t="n">
        <v>0</v>
      </c>
      <c r="G194" s="10" t="n">
        <v>5000</v>
      </c>
      <c r="H194" s="10" t="n">
        <v>6184045.970000003</v>
      </c>
      <c r="I194" s="6" t="inlineStr">
        <is>
          <t>โอน</t>
        </is>
      </c>
    </row>
    <row r="195">
      <c r="A195" s="6" t="inlineStr">
        <is>
          <t>2569-01-24</t>
        </is>
      </c>
      <c r="B195" s="6" t="inlineStr">
        <is>
          <t>V-256901-0023</t>
        </is>
      </c>
      <c r="C195" s="6" t="inlineStr">
        <is>
          <t>มิตเตอร์ดีไอวาย — ของใช้สำนักงาน [เงินสำรองกมลชนก]</t>
        </is>
      </c>
      <c r="D195" s="6" t="inlineStr">
        <is>
          <t>ค่าใช้จ่ายสำนักงาน</t>
        </is>
      </c>
      <c r="E195" s="6" t="inlineStr">
        <is>
          <t>ALL</t>
        </is>
      </c>
      <c r="F195" s="10" t="n">
        <v>0</v>
      </c>
      <c r="G195" s="10" t="n">
        <v>499</v>
      </c>
      <c r="H195" s="10" t="n">
        <v>6183546.970000003</v>
      </c>
      <c r="I195" s="6" t="inlineStr">
        <is>
          <t>โอน</t>
        </is>
      </c>
    </row>
    <row r="196">
      <c r="A196" s="6" t="inlineStr">
        <is>
          <t>2569-01-24</t>
        </is>
      </c>
      <c r="B196" s="6" t="inlineStr">
        <is>
          <t>V-256901-0024</t>
        </is>
      </c>
      <c r="C196" s="6" t="inlineStr">
        <is>
          <t>CP อมตะ โลตัสพลัสมอลล์ — ของใช้สำนักงาน [เงินสำรองกมลชนก]</t>
        </is>
      </c>
      <c r="D196" s="6" t="inlineStr">
        <is>
          <t>ค่าใช้จ่ายสำนักงาน</t>
        </is>
      </c>
      <c r="E196" s="6" t="inlineStr">
        <is>
          <t>ALL</t>
        </is>
      </c>
      <c r="F196" s="10" t="n">
        <v>0</v>
      </c>
      <c r="G196" s="10" t="n">
        <v>1490.5</v>
      </c>
      <c r="H196" s="10" t="n">
        <v>6182056.470000003</v>
      </c>
      <c r="I196" s="6" t="inlineStr">
        <is>
          <t>โอน</t>
        </is>
      </c>
    </row>
    <row r="197">
      <c r="A197" s="6" t="inlineStr">
        <is>
          <t>2569-01-26</t>
        </is>
      </c>
      <c r="B197" s="6" t="inlineStr">
        <is>
          <t>V-256901-0025</t>
        </is>
      </c>
      <c r="C197" s="6" t="inlineStr">
        <is>
          <t>อบต คลองตำหรุ — ค่าภาษีป้ายโฆษณา [เงินสำรองกมลชนก]</t>
        </is>
      </c>
      <c r="D197" s="6" t="inlineStr">
        <is>
          <t>ค่าใช้จ่ายสำนักงาน</t>
        </is>
      </c>
      <c r="E197" s="6" t="inlineStr">
        <is>
          <t>ALL</t>
        </is>
      </c>
      <c r="F197" s="10" t="n">
        <v>0</v>
      </c>
      <c r="G197" s="10" t="n">
        <v>3910</v>
      </c>
      <c r="H197" s="10" t="n">
        <v>6178146.470000003</v>
      </c>
      <c r="I197" s="6" t="inlineStr">
        <is>
          <t>โอน</t>
        </is>
      </c>
    </row>
    <row r="198">
      <c r="A198" s="6" t="inlineStr">
        <is>
          <t>2569-01-26</t>
        </is>
      </c>
      <c r="B198" s="6" t="inlineStr">
        <is>
          <t>V-256901-0026</t>
        </is>
      </c>
      <c r="C198" s="6" t="inlineStr">
        <is>
          <t>PT — น้ำมัน [เงินสำรองกมลชนก]</t>
        </is>
      </c>
      <c r="D198" s="6" t="inlineStr">
        <is>
          <t>ต้นทุนขาย-วัสดุก่อสร้าง</t>
        </is>
      </c>
      <c r="E198" s="6" t="inlineStr">
        <is>
          <t>ALL</t>
        </is>
      </c>
      <c r="F198" s="10" t="n">
        <v>0</v>
      </c>
      <c r="G198" s="10" t="n">
        <v>983</v>
      </c>
      <c r="H198" s="10" t="n">
        <v>6177163.470000003</v>
      </c>
      <c r="I198" s="6" t="inlineStr">
        <is>
          <t>เงินสด</t>
        </is>
      </c>
    </row>
    <row r="199">
      <c r="A199" s="6" t="inlineStr">
        <is>
          <t>2569-01-27</t>
        </is>
      </c>
      <c r="B199" s="6" t="inlineStr">
        <is>
          <t>V-256901-0027</t>
        </is>
      </c>
      <c r="C199" s="6" t="inlineStr">
        <is>
          <t>พรทิพย์ วิสูตร — ค่าเครนยกแผ่นปูน</t>
        </is>
      </c>
      <c r="D199" s="6" t="inlineStr">
        <is>
          <t>ต้นทุนขาย-วัสดุก่อสร้าง</t>
        </is>
      </c>
      <c r="E199" s="6" t="inlineStr">
        <is>
          <t>ALL</t>
        </is>
      </c>
      <c r="F199" s="10" t="n">
        <v>0</v>
      </c>
      <c r="G199" s="10" t="n">
        <v>6500</v>
      </c>
      <c r="H199" s="10" t="n">
        <v>6170663.470000003</v>
      </c>
      <c r="I199" s="6" t="inlineStr">
        <is>
          <t>โอน</t>
        </is>
      </c>
    </row>
    <row r="200">
      <c r="A200" s="6" t="inlineStr">
        <is>
          <t>2569-01-27</t>
        </is>
      </c>
      <c r="B200" s="6" t="inlineStr">
        <is>
          <t>V-256901-0028</t>
        </is>
      </c>
      <c r="C200" s="6" t="inlineStr">
        <is>
          <t>Mega Home — กระเบื้อง</t>
        </is>
      </c>
      <c r="D200" s="6" t="inlineStr">
        <is>
          <t>ต้นทุนขาย-วัสดุก่อสร้าง</t>
        </is>
      </c>
      <c r="E200" s="6" t="inlineStr">
        <is>
          <t>ALL</t>
        </is>
      </c>
      <c r="F200" s="10" t="n">
        <v>0</v>
      </c>
      <c r="G200" s="10" t="n">
        <v>37859</v>
      </c>
      <c r="H200" s="10" t="n">
        <v>6132804.470000003</v>
      </c>
      <c r="I200" s="6" t="inlineStr">
        <is>
          <t>บัตรเครดิต</t>
        </is>
      </c>
    </row>
    <row r="201">
      <c r="A201" s="6" t="inlineStr">
        <is>
          <t>2569-01-27</t>
        </is>
      </c>
      <c r="B201" s="6" t="inlineStr">
        <is>
          <t>V-256901-0029</t>
        </is>
      </c>
      <c r="C201" s="6" t="inlineStr">
        <is>
          <t>ท.เลิศยนต์ — จารบี [เงินสำรองกมลชนก]</t>
        </is>
      </c>
      <c r="D201" s="6" t="inlineStr">
        <is>
          <t>ต้นทุนขาย-วัสดุก่อสร้าง</t>
        </is>
      </c>
      <c r="E201" s="6" t="inlineStr">
        <is>
          <t>ALL</t>
        </is>
      </c>
      <c r="F201" s="10" t="n">
        <v>0</v>
      </c>
      <c r="G201" s="10" t="n">
        <v>1130</v>
      </c>
      <c r="H201" s="10" t="n">
        <v>6131674.470000003</v>
      </c>
      <c r="I201" s="6" t="inlineStr">
        <is>
          <t>เงินสด</t>
        </is>
      </c>
    </row>
    <row r="202">
      <c r="A202" s="6" t="inlineStr">
        <is>
          <t>2569-01-27</t>
        </is>
      </c>
      <c r="B202" s="6" t="inlineStr">
        <is>
          <t>V-256901-0030</t>
        </is>
      </c>
      <c r="C202" s="6" t="inlineStr">
        <is>
          <t>ศรีพโลค้าวัสดุ — กาวตะปู [เงินสำรองกมลชนก]</t>
        </is>
      </c>
      <c r="D202" s="6" t="inlineStr">
        <is>
          <t>ต้นทุนขาย-วัสดุก่อสร้าง</t>
        </is>
      </c>
      <c r="E202" s="6" t="inlineStr">
        <is>
          <t>ALL</t>
        </is>
      </c>
      <c r="F202" s="10" t="n">
        <v>0</v>
      </c>
      <c r="G202" s="10" t="n">
        <v>856</v>
      </c>
      <c r="H202" s="10" t="n">
        <v>6130818.470000003</v>
      </c>
      <c r="I202" s="6" t="inlineStr">
        <is>
          <t>เงินสด</t>
        </is>
      </c>
    </row>
    <row r="203">
      <c r="A203" s="6" t="inlineStr">
        <is>
          <t>2569-01-27</t>
        </is>
      </c>
      <c r="B203" s="6" t="inlineStr">
        <is>
          <t>V-256901-0031</t>
        </is>
      </c>
      <c r="C203" s="6" t="inlineStr">
        <is>
          <t>ศรีพโลค้าวัสดุ — สกรู ก้ามปู เทปพันสายไฟ [เงินสำรองกมลชนก]</t>
        </is>
      </c>
      <c r="D203" s="6" t="inlineStr">
        <is>
          <t>ต้นทุนขาย-วัสดุก่อสร้าง</t>
        </is>
      </c>
      <c r="E203" s="6" t="inlineStr">
        <is>
          <t>ALL</t>
        </is>
      </c>
      <c r="F203" s="10" t="n">
        <v>0</v>
      </c>
      <c r="G203" s="10" t="n">
        <v>1857.52</v>
      </c>
      <c r="H203" s="10" t="n">
        <v>6128960.950000003</v>
      </c>
      <c r="I203" s="6" t="inlineStr">
        <is>
          <t>เงินสด</t>
        </is>
      </c>
    </row>
    <row r="204">
      <c r="A204" s="6" t="inlineStr">
        <is>
          <t>2569-01-27</t>
        </is>
      </c>
      <c r="B204" s="6" t="inlineStr">
        <is>
          <t>V-256901-0032</t>
        </is>
      </c>
      <c r="C204" s="6" t="inlineStr">
        <is>
          <t>ศรีพโลค้าวัสดุ — ท่อลูกฟูก [เงินสำรองกมลชนก]</t>
        </is>
      </c>
      <c r="D204" s="6" t="inlineStr">
        <is>
          <t>ต้นทุนขาย-วัสดุก่อสร้าง</t>
        </is>
      </c>
      <c r="E204" s="6" t="inlineStr">
        <is>
          <t>ALL</t>
        </is>
      </c>
      <c r="F204" s="10" t="n">
        <v>0</v>
      </c>
      <c r="G204" s="10" t="n">
        <v>2947.85</v>
      </c>
      <c r="H204" s="10" t="n">
        <v>6126013.100000003</v>
      </c>
      <c r="I204" s="6" t="inlineStr">
        <is>
          <t>เงินสด</t>
        </is>
      </c>
    </row>
    <row r="205">
      <c r="A205" s="6" t="inlineStr">
        <is>
          <t>2569-01-27</t>
        </is>
      </c>
      <c r="B205" s="6" t="inlineStr">
        <is>
          <t>V-256901-0033</t>
        </is>
      </c>
      <c r="C205" s="6" t="inlineStr">
        <is>
          <t>ชลบุรีสันติสุข — น้ำมันดีเซล [เงินสำรองกมลชนก]</t>
        </is>
      </c>
      <c r="D205" s="6" t="inlineStr">
        <is>
          <t>ต้นทุนขาย-วัสดุก่อสร้าง</t>
        </is>
      </c>
      <c r="E205" s="6" t="inlineStr">
        <is>
          <t>ALL</t>
        </is>
      </c>
      <c r="F205" s="10" t="n">
        <v>0</v>
      </c>
      <c r="G205" s="10" t="n">
        <v>500</v>
      </c>
      <c r="H205" s="10" t="n">
        <v>6125513.100000003</v>
      </c>
      <c r="I205" s="6" t="inlineStr">
        <is>
          <t>เงินสด</t>
        </is>
      </c>
    </row>
    <row r="206">
      <c r="A206" s="6" t="inlineStr">
        <is>
          <t>2569-01-27</t>
        </is>
      </c>
      <c r="B206" s="6" t="inlineStr">
        <is>
          <t>V-256901-0034</t>
        </is>
      </c>
      <c r="C206" s="6" t="inlineStr">
        <is>
          <t>บริษัท บายพาสไฮดรอลิค จำกัด — สาย 1 นิ้ว นิปเปิ้ล งอ 90 [เงินสำรองกมลชนก]</t>
        </is>
      </c>
      <c r="D206" s="6" t="inlineStr">
        <is>
          <t>ต้นทุนขาย-วัสดุก่อสร้าง</t>
        </is>
      </c>
      <c r="E206" s="6" t="inlineStr">
        <is>
          <t>ALL</t>
        </is>
      </c>
      <c r="F206" s="10" t="n">
        <v>0</v>
      </c>
      <c r="G206" s="10" t="n">
        <v>1166.3</v>
      </c>
      <c r="H206" s="10" t="n">
        <v>6124346.800000004</v>
      </c>
      <c r="I206" s="6" t="inlineStr">
        <is>
          <t>เงินสด</t>
        </is>
      </c>
    </row>
    <row r="207">
      <c r="A207" s="6" t="inlineStr">
        <is>
          <t>2569-01-28</t>
        </is>
      </c>
      <c r="B207" s="6" t="inlineStr">
        <is>
          <t>V-256901-0035</t>
        </is>
      </c>
      <c r="C207" s="6" t="inlineStr">
        <is>
          <t>ศรีพโลค้าวัสดุ — ข้องอ [เงินสำรองกมลชนก]</t>
        </is>
      </c>
      <c r="D207" s="6" t="inlineStr">
        <is>
          <t>ต้นทุนขาย-วัสดุก่อสร้าง</t>
        </is>
      </c>
      <c r="E207" s="6" t="inlineStr">
        <is>
          <t>ALL</t>
        </is>
      </c>
      <c r="F207" s="10" t="n">
        <v>0</v>
      </c>
      <c r="G207" s="10" t="n">
        <v>368.08</v>
      </c>
      <c r="H207" s="10" t="n">
        <v>6123978.720000003</v>
      </c>
      <c r="I207" s="6" t="inlineStr">
        <is>
          <t>เงินสด</t>
        </is>
      </c>
    </row>
    <row r="208">
      <c r="A208" s="6" t="inlineStr">
        <is>
          <t>2569-01-29</t>
        </is>
      </c>
      <c r="B208" s="6" t="inlineStr">
        <is>
          <t>V-256901-0036</t>
        </is>
      </c>
      <c r="C208" s="6" t="inlineStr">
        <is>
          <t>ปตท — ค่าน้ำมันแบคโฮ [เงินสำรองกมลชนก สงสัย 100และ500 10/2/12/]</t>
        </is>
      </c>
      <c r="D208" s="6" t="inlineStr">
        <is>
          <t>ต้นทุนขาย-วัสดุก่อสร้าง</t>
        </is>
      </c>
      <c r="E208" s="6" t="inlineStr">
        <is>
          <t>ALL</t>
        </is>
      </c>
      <c r="F208" s="10" t="n">
        <v>0</v>
      </c>
      <c r="G208" s="10" t="n">
        <v>1500</v>
      </c>
      <c r="H208" s="10" t="n">
        <v>6122478.720000003</v>
      </c>
      <c r="I208" s="6" t="inlineStr">
        <is>
          <t>เงินสด</t>
        </is>
      </c>
    </row>
    <row r="209">
      <c r="A209" s="6" t="inlineStr">
        <is>
          <t>2569-02-01</t>
        </is>
      </c>
      <c r="B209" s="6" t="inlineStr">
        <is>
          <t>V-256902-0001</t>
        </is>
      </c>
      <c r="C209" s="6" t="inlineStr">
        <is>
          <t>กรมพัฒนาธุรกิจการค้า — หนังสือรับรอง [เงินสำรองกมลชนก]</t>
        </is>
      </c>
      <c r="D209" s="6" t="inlineStr">
        <is>
          <t>ต้นทุนขาย-วัสดุก่อสร้าง</t>
        </is>
      </c>
      <c r="E209" s="6" t="inlineStr">
        <is>
          <t>ALL</t>
        </is>
      </c>
      <c r="F209" s="10" t="n">
        <v>0</v>
      </c>
      <c r="G209" s="10" t="n">
        <v>200</v>
      </c>
      <c r="H209" s="10" t="n">
        <v>6122278.720000003</v>
      </c>
      <c r="I209" s="6" t="inlineStr">
        <is>
          <t>โอน</t>
        </is>
      </c>
    </row>
    <row r="210">
      <c r="A210" s="6" t="inlineStr">
        <is>
          <t>2569-02-01</t>
        </is>
      </c>
      <c r="B210" s="6" t="inlineStr">
        <is>
          <t>V-256902-0002</t>
        </is>
      </c>
      <c r="C210" s="6" t="inlineStr">
        <is>
          <t>นาย รัชชานนท์ ด้วงคงสุก — ค่าทำบัญชี [คุณพงศกร ดีแสน ชำระ]</t>
        </is>
      </c>
      <c r="D210" s="6" t="inlineStr">
        <is>
          <t>ค่าใช้จ่ายสำนักงาน</t>
        </is>
      </c>
      <c r="E210" s="6" t="inlineStr">
        <is>
          <t>ALL</t>
        </is>
      </c>
      <c r="F210" s="10" t="n">
        <v>0</v>
      </c>
      <c r="G210" s="10" t="n">
        <v>4000</v>
      </c>
      <c r="H210" s="10" t="n">
        <v>6118278.720000003</v>
      </c>
      <c r="I210" s="6" t="inlineStr">
        <is>
          <t>โอน</t>
        </is>
      </c>
    </row>
    <row r="211">
      <c r="A211" s="6" t="inlineStr">
        <is>
          <t>2569-02-02</t>
        </is>
      </c>
      <c r="B211" s="6" t="inlineStr">
        <is>
          <t>V-256902-0003</t>
        </is>
      </c>
      <c r="C211" s="6" t="inlineStr">
        <is>
          <t>กรมที่ดิน — ค่าธรรมเนียมขอหนังสือรับรองโฉนด [เงินสำรองกมลชนก]</t>
        </is>
      </c>
      <c r="D211" s="6" t="inlineStr">
        <is>
          <t>ค่าใช้จ่ายสำนักงาน</t>
        </is>
      </c>
      <c r="E211" s="6" t="inlineStr">
        <is>
          <t>ALL</t>
        </is>
      </c>
      <c r="F211" s="10" t="n">
        <v>0</v>
      </c>
      <c r="G211" s="10" t="n">
        <v>780</v>
      </c>
      <c r="H211" s="10" t="n">
        <v>6117498.720000003</v>
      </c>
      <c r="I211" s="6" t="inlineStr">
        <is>
          <t>เงินสด</t>
        </is>
      </c>
    </row>
    <row r="212">
      <c r="A212" s="6" t="inlineStr">
        <is>
          <t>2569-02-02</t>
        </is>
      </c>
      <c r="B212" s="6" t="inlineStr">
        <is>
          <t>V-256902-0004</t>
        </is>
      </c>
      <c r="C212" s="6" t="inlineStr">
        <is>
          <t>อำเภอชลบุรี — ค่าธรรมเนียมขอทะเบียนบ้าน [เงินสำรองกมลชนก ใต้โต๊ะ ไม่มีหลักฐาน]</t>
        </is>
      </c>
      <c r="D212" s="6" t="inlineStr">
        <is>
          <t>ค่าใช้จ่ายสำนักงาน</t>
        </is>
      </c>
      <c r="E212" s="6" t="inlineStr">
        <is>
          <t>ALL</t>
        </is>
      </c>
      <c r="F212" s="10" t="n">
        <v>0</v>
      </c>
      <c r="G212" s="10" t="n">
        <v>2600</v>
      </c>
      <c r="H212" s="10" t="n">
        <v>6114898.720000003</v>
      </c>
      <c r="I212" s="6" t="inlineStr">
        <is>
          <t>เงินสด</t>
        </is>
      </c>
    </row>
    <row r="213">
      <c r="A213" s="6" t="inlineStr">
        <is>
          <t>2569-02-03</t>
        </is>
      </c>
      <c r="B213" s="6" t="inlineStr">
        <is>
          <t>V-256902-0005</t>
        </is>
      </c>
      <c r="C213" s="6" t="inlineStr">
        <is>
          <t>นายโกวิท — คืนส่วนต่างสำรอง [3 รายการ ยอด3010บาท สำรองกมลชนก]</t>
        </is>
      </c>
      <c r="D213" s="6" t="inlineStr">
        <is>
          <t>ต้นทุนขาย-วัสดุก่อสร้าง</t>
        </is>
      </c>
      <c r="E213" s="6" t="inlineStr">
        <is>
          <t>ALL</t>
        </is>
      </c>
      <c r="F213" s="10" t="n">
        <v>0</v>
      </c>
      <c r="G213" s="10" t="n">
        <v>601</v>
      </c>
      <c r="H213" s="10" t="n">
        <v>6114297.720000003</v>
      </c>
      <c r="I213" s="6" t="inlineStr">
        <is>
          <t>โอน</t>
        </is>
      </c>
    </row>
    <row r="214">
      <c r="A214" s="6" t="inlineStr">
        <is>
          <t>2569-02-03</t>
        </is>
      </c>
      <c r="B214" s="6" t="inlineStr">
        <is>
          <t>V-256902-0006</t>
        </is>
      </c>
      <c r="C214" s="6" t="inlineStr">
        <is>
          <t>PT — น้ำมันดีเซล</t>
        </is>
      </c>
      <c r="D214" s="6" t="inlineStr">
        <is>
          <t>ต้นทุนขาย-วัสดุก่อสร้าง</t>
        </is>
      </c>
      <c r="E214" s="6" t="inlineStr">
        <is>
          <t>ALL</t>
        </is>
      </c>
      <c r="F214" s="10" t="n">
        <v>0</v>
      </c>
      <c r="G214" s="10" t="n">
        <v>590</v>
      </c>
      <c r="H214" s="10" t="n">
        <v>6113707.720000003</v>
      </c>
      <c r="I214" s="6" t="inlineStr">
        <is>
          <t>โอน</t>
        </is>
      </c>
    </row>
    <row r="215">
      <c r="A215" s="6" t="inlineStr">
        <is>
          <t>2569-02-03</t>
        </is>
      </c>
      <c r="B215" s="6" t="inlineStr">
        <is>
          <t>V-256902-0007</t>
        </is>
      </c>
      <c r="C215" s="6" t="inlineStr">
        <is>
          <t>กังสดานค้าไม้ — อิฐบล็อค</t>
        </is>
      </c>
      <c r="D215" s="6" t="inlineStr">
        <is>
          <t>ต้นทุนขาย-วัสดุก่อสร้าง</t>
        </is>
      </c>
      <c r="E215" s="6" t="inlineStr">
        <is>
          <t>ALL</t>
        </is>
      </c>
      <c r="F215" s="10" t="n">
        <v>0</v>
      </c>
      <c r="G215" s="10" t="n">
        <v>1819</v>
      </c>
      <c r="H215" s="10" t="n">
        <v>6111888.720000003</v>
      </c>
      <c r="I215" s="6" t="inlineStr">
        <is>
          <t>โอน</t>
        </is>
      </c>
    </row>
    <row r="216">
      <c r="A216" s="6" t="inlineStr">
        <is>
          <t>2569-02-04</t>
        </is>
      </c>
      <c r="B216" s="6" t="inlineStr">
        <is>
          <t>V-256902-0008</t>
        </is>
      </c>
      <c r="C216" s="6" t="inlineStr">
        <is>
          <t>นาย รัชชานนท์ ด้วงคงสุก — ค่าทำบัญชี [เงินสำรองกมลชนก]</t>
        </is>
      </c>
      <c r="D216" s="6" t="inlineStr">
        <is>
          <t>ค่าใช้จ่ายสำนักงาน</t>
        </is>
      </c>
      <c r="E216" s="6" t="inlineStr">
        <is>
          <t>ALL</t>
        </is>
      </c>
      <c r="F216" s="10" t="n">
        <v>0</v>
      </c>
      <c r="G216" s="10" t="n">
        <v>4000</v>
      </c>
      <c r="H216" s="10" t="n">
        <v>6107888.720000003</v>
      </c>
      <c r="I216" s="6" t="inlineStr">
        <is>
          <t>โอน</t>
        </is>
      </c>
    </row>
    <row r="217">
      <c r="A217" s="6" t="inlineStr">
        <is>
          <t>2569-02-05</t>
        </is>
      </c>
      <c r="B217" s="6" t="inlineStr">
        <is>
          <t>V-256902-0009</t>
        </is>
      </c>
      <c r="C217" s="6" t="inlineStr">
        <is>
          <t>น.ส.จิรวดี เม้ากำเหนิด — ค่าของทำแคมป์ [คุณพงศกร ดีแสน ชำระ]</t>
        </is>
      </c>
      <c r="D217" s="6" t="inlineStr">
        <is>
          <t>ต้นทุนขาย-วัสดุก่อสร้าง</t>
        </is>
      </c>
      <c r="E217" s="6" t="inlineStr">
        <is>
          <t>ALL</t>
        </is>
      </c>
      <c r="F217" s="10" t="n">
        <v>0</v>
      </c>
      <c r="G217" s="10" t="n">
        <v>54555</v>
      </c>
      <c r="H217" s="10" t="n">
        <v>6053333.720000003</v>
      </c>
      <c r="I217" s="6" t="inlineStr">
        <is>
          <t>โอน</t>
        </is>
      </c>
    </row>
    <row r="218">
      <c r="A218" s="6" t="inlineStr">
        <is>
          <t>2569-02-05</t>
        </is>
      </c>
      <c r="B218" s="6" t="inlineStr">
        <is>
          <t>V-256902-0010</t>
        </is>
      </c>
      <c r="C218" s="6" t="inlineStr">
        <is>
          <t>AIS ไฟเบอร์ — AIS ไฟเบอร์ [เงินสำรองกมลชนก]</t>
        </is>
      </c>
      <c r="D218" s="6" t="inlineStr">
        <is>
          <t>ค่าใช้จ่ายสำนักงาน</t>
        </is>
      </c>
      <c r="E218" s="6" t="inlineStr">
        <is>
          <t>ALL</t>
        </is>
      </c>
      <c r="F218" s="10" t="n">
        <v>0</v>
      </c>
      <c r="G218" s="10" t="n">
        <v>1495.86</v>
      </c>
      <c r="H218" s="10" t="n">
        <v>6051837.860000003</v>
      </c>
      <c r="I218" s="6" t="inlineStr">
        <is>
          <t>โอน</t>
        </is>
      </c>
    </row>
    <row r="219">
      <c r="A219" s="6" t="inlineStr">
        <is>
          <t>2569-02-07</t>
        </is>
      </c>
      <c r="B219" s="6" t="inlineStr">
        <is>
          <t>V-256902-0011</t>
        </is>
      </c>
      <c r="C219" s="6" t="inlineStr">
        <is>
          <t>นาย บรรลือศักดิ์ ไพราม — น้ำมันแบคโฮคันเล็ก คันใหญ่ [เงินสำรองกมลชนก]</t>
        </is>
      </c>
      <c r="D219" s="6" t="inlineStr">
        <is>
          <t>ต้นทุนขาย-วัสดุก่อสร้าง</t>
        </is>
      </c>
      <c r="E219" s="6" t="inlineStr">
        <is>
          <t>ALL</t>
        </is>
      </c>
      <c r="F219" s="10" t="n">
        <v>0</v>
      </c>
      <c r="G219" s="10" t="n">
        <v>2500</v>
      </c>
      <c r="H219" s="10" t="n">
        <v>6049337.860000003</v>
      </c>
      <c r="I219" s="6" t="inlineStr">
        <is>
          <t>โอน</t>
        </is>
      </c>
    </row>
    <row r="220">
      <c r="A220" s="6" t="inlineStr">
        <is>
          <t>2569-02-09</t>
        </is>
      </c>
      <c r="B220" s="6" t="inlineStr">
        <is>
          <t>V-256902-0012</t>
        </is>
      </c>
      <c r="C220" s="6" t="inlineStr">
        <is>
          <t>การไฟฟ้าส่วนภูมิภาค — ก่อสร้างไฟฟ้า</t>
        </is>
      </c>
      <c r="D220" s="6" t="inlineStr">
        <is>
          <t>ค่าน้ำ-ไฟ-โทรศัพท์</t>
        </is>
      </c>
      <c r="E220" s="6" t="inlineStr">
        <is>
          <t>ALL</t>
        </is>
      </c>
      <c r="F220" s="10" t="n">
        <v>0</v>
      </c>
      <c r="G220" s="10" t="n">
        <v>2844718.94</v>
      </c>
      <c r="H220" s="10" t="n">
        <v>3204618.920000003</v>
      </c>
      <c r="I220" s="6" t="inlineStr">
        <is>
          <t>เช็ค</t>
        </is>
      </c>
    </row>
    <row r="221">
      <c r="A221" s="6" t="inlineStr">
        <is>
          <t>2569-02-09</t>
        </is>
      </c>
      <c r="B221" s="6" t="inlineStr">
        <is>
          <t>V-256902-0013</t>
        </is>
      </c>
      <c r="C221" s="6" t="inlineStr">
        <is>
          <t>เอส เอส เซอร์วิส — ค่าเช่าเครื่องปริ้น [เงินสำรองกมลชนก]</t>
        </is>
      </c>
      <c r="D221" s="6" t="inlineStr">
        <is>
          <t>ค่าใช้จ่ายสำนักงาน</t>
        </is>
      </c>
      <c r="E221" s="6" t="inlineStr">
        <is>
          <t>ALL</t>
        </is>
      </c>
      <c r="F221" s="10" t="n">
        <v>0</v>
      </c>
      <c r="G221" s="10" t="n">
        <v>2777.72</v>
      </c>
      <c r="H221" s="10" t="n">
        <v>3201841.200000003</v>
      </c>
      <c r="I221" s="6" t="inlineStr">
        <is>
          <t>โอน</t>
        </is>
      </c>
    </row>
    <row r="222">
      <c r="A222" s="6" t="inlineStr">
        <is>
          <t>2569-02-09</t>
        </is>
      </c>
      <c r="B222" s="6" t="inlineStr">
        <is>
          <t>V-256902-0014</t>
        </is>
      </c>
      <c r="C222" s="6" t="inlineStr">
        <is>
          <t>การปะปาส่วนภูมิภาค — ค่าน้ำปะปา [คุณพงศกร ดีแสน ชำระ]</t>
        </is>
      </c>
      <c r="D222" s="6" t="inlineStr">
        <is>
          <t>ค่าน้ำ-ไฟ-โทรศัพท์</t>
        </is>
      </c>
      <c r="E222" s="6" t="inlineStr">
        <is>
          <t>ALL</t>
        </is>
      </c>
      <c r="F222" s="10" t="n">
        <v>0</v>
      </c>
      <c r="G222" s="10" t="n">
        <v>3846.65</v>
      </c>
      <c r="H222" s="10" t="n">
        <v>3197994.550000003</v>
      </c>
      <c r="I222" s="6" t="inlineStr">
        <is>
          <t>โอน</t>
        </is>
      </c>
    </row>
    <row r="223">
      <c r="A223" s="6" t="inlineStr">
        <is>
          <t>2569-02-09</t>
        </is>
      </c>
      <c r="B223" s="6" t="inlineStr">
        <is>
          <t>V-256902-0015</t>
        </is>
      </c>
      <c r="C223" s="6" t="inlineStr">
        <is>
          <t>การปะปาส่วนภูมิภาค — ค่าน้ำปะปา [คุณพงศกร ดีแสน ชำระ]</t>
        </is>
      </c>
      <c r="D223" s="6" t="inlineStr">
        <is>
          <t>ค่าน้ำ-ไฟ-โทรศัพท์</t>
        </is>
      </c>
      <c r="E223" s="6" t="inlineStr">
        <is>
          <t>ALL</t>
        </is>
      </c>
      <c r="F223" s="10" t="n">
        <v>0</v>
      </c>
      <c r="G223" s="10" t="n">
        <v>192.6</v>
      </c>
      <c r="H223" s="10" t="n">
        <v>3197801.950000003</v>
      </c>
      <c r="I223" s="6" t="inlineStr">
        <is>
          <t>โอน</t>
        </is>
      </c>
    </row>
    <row r="224">
      <c r="A224" s="6" t="inlineStr">
        <is>
          <t>2569-02-09</t>
        </is>
      </c>
      <c r="B224" s="6" t="inlineStr">
        <is>
          <t>V-256902-0016</t>
        </is>
      </c>
      <c r="C224" s="6" t="inlineStr">
        <is>
          <t>บริษัท แฟมิลี่ เครน จำกัด — บริการค่าเครน 16 ตัน [เงินสำรองกมลชนก]</t>
        </is>
      </c>
      <c r="D224" s="6" t="inlineStr">
        <is>
          <t>ต้นทุนขาย-วัสดุก่อสร้าง</t>
        </is>
      </c>
      <c r="E224" s="6" t="inlineStr">
        <is>
          <t>ALL</t>
        </is>
      </c>
      <c r="F224" s="10" t="n">
        <v>0</v>
      </c>
      <c r="G224" s="10" t="n">
        <v>6760</v>
      </c>
      <c r="H224" s="10" t="n">
        <v>3191041.950000003</v>
      </c>
      <c r="I224" s="6" t="inlineStr">
        <is>
          <t>โอน</t>
        </is>
      </c>
    </row>
    <row r="225">
      <c r="A225" s="6" t="inlineStr">
        <is>
          <t>2569-02-09</t>
        </is>
      </c>
      <c r="B225" s="6" t="inlineStr">
        <is>
          <t>V-256902-0017</t>
        </is>
      </c>
      <c r="C225" s="6" t="inlineStr">
        <is>
          <t>นาย บรรลือศักดิ์ ไพราม — น้ำมันแบคโฮ [เงินสำรองกมลชนก]</t>
        </is>
      </c>
      <c r="D225" s="6" t="inlineStr">
        <is>
          <t>ต้นทุนขาย-วัสดุก่อสร้าง</t>
        </is>
      </c>
      <c r="E225" s="6" t="inlineStr">
        <is>
          <t>ALL</t>
        </is>
      </c>
      <c r="F225" s="10" t="n">
        <v>0</v>
      </c>
      <c r="G225" s="10" t="n">
        <v>2500</v>
      </c>
      <c r="H225" s="10" t="n">
        <v>3188541.950000003</v>
      </c>
      <c r="I225" s="6" t="inlineStr">
        <is>
          <t>โอน</t>
        </is>
      </c>
    </row>
    <row r="226">
      <c r="A226" s="6" t="inlineStr">
        <is>
          <t>2569-02-09</t>
        </is>
      </c>
      <c r="B226" s="6" t="inlineStr">
        <is>
          <t>V-256902-0018</t>
        </is>
      </c>
      <c r="C226" s="6" t="inlineStr">
        <is>
          <t>การไฟฟ้าส่วนภูมิภาค — ค่าไฟ [คุณพงศกร ดีแสน ชำระ]</t>
        </is>
      </c>
      <c r="D226" s="6" t="inlineStr">
        <is>
          <t>ค่าน้ำ-ไฟ-โทรศัพท์</t>
        </is>
      </c>
      <c r="E226" s="6" t="inlineStr">
        <is>
          <t>ALL</t>
        </is>
      </c>
      <c r="F226" s="10" t="n">
        <v>0</v>
      </c>
      <c r="G226" s="10" t="n">
        <v>538.9400000000001</v>
      </c>
      <c r="H226" s="10" t="n">
        <v>3188003.010000003</v>
      </c>
      <c r="I226" s="6" t="inlineStr">
        <is>
          <t>โอน</t>
        </is>
      </c>
    </row>
    <row r="227">
      <c r="A227" s="6" t="inlineStr">
        <is>
          <t>2569-02-09</t>
        </is>
      </c>
      <c r="B227" s="6" t="inlineStr">
        <is>
          <t>V-256902-0019</t>
        </is>
      </c>
      <c r="C227" s="6" t="inlineStr">
        <is>
          <t>การไฟฟ้าส่วนภูมิภาค — ค่าไฟ [คุณพงศกร ดีแสน ชำระ]</t>
        </is>
      </c>
      <c r="D227" s="6" t="inlineStr">
        <is>
          <t>ค่าน้ำ-ไฟ-โทรศัพท์</t>
        </is>
      </c>
      <c r="E227" s="6" t="inlineStr">
        <is>
          <t>ALL</t>
        </is>
      </c>
      <c r="F227" s="10" t="n">
        <v>0</v>
      </c>
      <c r="G227" s="10" t="n">
        <v>4259.8</v>
      </c>
      <c r="H227" s="10" t="n">
        <v>3183743.210000003</v>
      </c>
      <c r="I227" s="6" t="inlineStr">
        <is>
          <t>โอน</t>
        </is>
      </c>
    </row>
    <row r="228">
      <c r="A228" s="6" t="inlineStr">
        <is>
          <t>2569-02-09</t>
        </is>
      </c>
      <c r="B228" s="6" t="inlineStr">
        <is>
          <t>V-256902-0020</t>
        </is>
      </c>
      <c r="C228" s="6" t="inlineStr">
        <is>
          <t>การไฟฟ้าส่วนภูมิภาค — ค่าไฟ [คุณพงศกร ดีแสน ชำระ]</t>
        </is>
      </c>
      <c r="D228" s="6" t="inlineStr">
        <is>
          <t>ค่าน้ำ-ไฟ-โทรศัพท์</t>
        </is>
      </c>
      <c r="E228" s="6" t="inlineStr">
        <is>
          <t>ALL</t>
        </is>
      </c>
      <c r="F228" s="10" t="n">
        <v>0</v>
      </c>
      <c r="G228" s="10" t="n">
        <v>6775.89</v>
      </c>
      <c r="H228" s="10" t="n">
        <v>3176967.320000003</v>
      </c>
      <c r="I228" s="6" t="inlineStr">
        <is>
          <t>โอน</t>
        </is>
      </c>
    </row>
    <row r="229">
      <c r="A229" s="6" t="inlineStr">
        <is>
          <t>2569-02-09</t>
        </is>
      </c>
      <c r="B229" s="6" t="inlineStr">
        <is>
          <t>V-256902-0021</t>
        </is>
      </c>
      <c r="C229" s="6" t="inlineStr">
        <is>
          <t>การไฟฟ้าส่วนภูมิภาค — ค่าไฟ [คุณพงศกร ดีแสน ชำระ]</t>
        </is>
      </c>
      <c r="D229" s="6" t="inlineStr">
        <is>
          <t>ค่าน้ำ-ไฟ-โทรศัพท์</t>
        </is>
      </c>
      <c r="E229" s="6" t="inlineStr">
        <is>
          <t>ALL</t>
        </is>
      </c>
      <c r="F229" s="10" t="n">
        <v>0</v>
      </c>
      <c r="G229" s="10" t="n">
        <v>3558.46</v>
      </c>
      <c r="H229" s="10" t="n">
        <v>3173408.860000003</v>
      </c>
      <c r="I229" s="6" t="inlineStr">
        <is>
          <t>โอน</t>
        </is>
      </c>
    </row>
    <row r="230">
      <c r="A230" s="6" t="inlineStr">
        <is>
          <t>2569-02-10</t>
        </is>
      </c>
      <c r="B230" s="6" t="inlineStr">
        <is>
          <t>V-256902-0022</t>
        </is>
      </c>
      <c r="C230" s="6" t="inlineStr">
        <is>
          <t>บริษัท เด็กย้งชัยรุ่งเรือง จำกัด สำนักงานใหญ่ — ค่าน้ำมัน [ไม่มีใบเสร็จ]</t>
        </is>
      </c>
      <c r="D230" s="6" t="inlineStr">
        <is>
          <t>ค่าน้ำ-ไฟ-โทรศัพท์</t>
        </is>
      </c>
      <c r="E230" s="6" t="inlineStr">
        <is>
          <t>ALL</t>
        </is>
      </c>
      <c r="F230" s="10" t="n">
        <v>0</v>
      </c>
      <c r="G230" s="10" t="n">
        <v>1000</v>
      </c>
      <c r="H230" s="10" t="n">
        <v>3172408.860000003</v>
      </c>
      <c r="I230" s="6" t="inlineStr">
        <is>
          <t>-</t>
        </is>
      </c>
    </row>
    <row r="231">
      <c r="A231" s="6" t="inlineStr">
        <is>
          <t>2569-02-10</t>
        </is>
      </c>
      <c r="B231" s="6" t="inlineStr">
        <is>
          <t>V-256902-0023</t>
        </is>
      </c>
      <c r="C231" s="6" t="inlineStr">
        <is>
          <t>บริษัท ชลบุรีอึ้งย่งล้ง จำกัด — ค่าวัสดุก่อสร้าง [รับเช็ค 11/2/2569]</t>
        </is>
      </c>
      <c r="D231" s="6" t="inlineStr">
        <is>
          <t>ต้นทุนขาย-วัสดุก่อสร้าง</t>
        </is>
      </c>
      <c r="E231" s="6" t="inlineStr">
        <is>
          <t>ALL</t>
        </is>
      </c>
      <c r="F231" s="10" t="n">
        <v>0</v>
      </c>
      <c r="G231" s="10" t="n">
        <v>250219</v>
      </c>
      <c r="H231" s="10" t="n">
        <v>2922189.860000003</v>
      </c>
      <c r="I231" s="6" t="inlineStr">
        <is>
          <t>เช็ค</t>
        </is>
      </c>
    </row>
    <row r="232">
      <c r="A232" s="6" t="inlineStr">
        <is>
          <t>2569-02-10</t>
        </is>
      </c>
      <c r="B232" s="6" t="inlineStr">
        <is>
          <t>V-256902-0024</t>
        </is>
      </c>
      <c r="C232" s="6" t="inlineStr">
        <is>
          <t>เอส เจ ซี คอนกรีต จำกัด — ค่าวัสดุก่อสร้าง [รับเช็ค 11/2/2569]</t>
        </is>
      </c>
      <c r="D232" s="6" t="inlineStr">
        <is>
          <t>ต้นทุนขาย-วัสดุก่อสร้าง</t>
        </is>
      </c>
      <c r="E232" s="6" t="inlineStr">
        <is>
          <t>ALL</t>
        </is>
      </c>
      <c r="F232" s="10" t="n">
        <v>0</v>
      </c>
      <c r="G232" s="10" t="n">
        <v>144301</v>
      </c>
      <c r="H232" s="10" t="n">
        <v>2777888.860000003</v>
      </c>
      <c r="I232" s="6" t="inlineStr">
        <is>
          <t>เช็ค</t>
        </is>
      </c>
    </row>
    <row r="233">
      <c r="A233" s="6" t="inlineStr">
        <is>
          <t>2569-02-10</t>
        </is>
      </c>
      <c r="B233" s="6" t="inlineStr">
        <is>
          <t>V-256902-0025</t>
        </is>
      </c>
      <c r="C233" s="6" t="inlineStr">
        <is>
          <t>MEGA HOME — กระดาษทรายขัด อะคริลิกอุดโป้ว [คุณพงศกร ดีแสน ชำระ]</t>
        </is>
      </c>
      <c r="D233" s="6" t="inlineStr">
        <is>
          <t>ต้นทุนขาย-วัสดุก่อสร้าง</t>
        </is>
      </c>
      <c r="E233" s="6" t="inlineStr">
        <is>
          <t>ALL</t>
        </is>
      </c>
      <c r="F233" s="10" t="n">
        <v>0</v>
      </c>
      <c r="G233" s="10" t="n">
        <v>4180.7</v>
      </c>
      <c r="H233" s="10" t="n">
        <v>2773708.160000003</v>
      </c>
      <c r="I233" s="6" t="inlineStr">
        <is>
          <t>โอน</t>
        </is>
      </c>
    </row>
    <row r="234">
      <c r="A234" s="6" t="inlineStr">
        <is>
          <t>2569-02-11</t>
        </is>
      </c>
      <c r="B234" s="6" t="inlineStr">
        <is>
          <t>V-256902-0026</t>
        </is>
      </c>
      <c r="C234" s="6" t="inlineStr">
        <is>
          <t>นาย บรรลือศักดิ์ ไพราม — ศรีพโล สีโครงหลังคา 146-151 [เงินสำรองกมลชนก]</t>
        </is>
      </c>
      <c r="D234" s="6" t="inlineStr">
        <is>
          <t>ต้นทุนขาย-วัสดุก่อสร้าง</t>
        </is>
      </c>
      <c r="E234" s="6" t="inlineStr">
        <is>
          <t>ALL</t>
        </is>
      </c>
      <c r="F234" s="10" t="n">
        <v>0</v>
      </c>
      <c r="G234" s="10" t="n">
        <v>1220</v>
      </c>
      <c r="H234" s="10" t="n">
        <v>2772488.160000003</v>
      </c>
      <c r="I234" s="6" t="inlineStr">
        <is>
          <t>โอน</t>
        </is>
      </c>
    </row>
    <row r="235">
      <c r="A235" s="6" t="inlineStr">
        <is>
          <t>2569-02-12</t>
        </is>
      </c>
      <c r="B235" s="6" t="inlineStr">
        <is>
          <t>V-256902-0027</t>
        </is>
      </c>
      <c r="C235" s="6" t="inlineStr">
        <is>
          <t>แก้วทับทิม เช่าชุด — เช่าชุดคอนเทนต์ [เงินสำรองกมลชนก]</t>
        </is>
      </c>
      <c r="D235" s="6" t="inlineStr">
        <is>
          <t>ค่าโฆษณา-การตลาด</t>
        </is>
      </c>
      <c r="E235" s="6" t="inlineStr">
        <is>
          <t>ALL</t>
        </is>
      </c>
      <c r="F235" s="10" t="n">
        <v>0</v>
      </c>
      <c r="G235" s="10" t="n">
        <v>3500</v>
      </c>
      <c r="H235" s="10" t="n">
        <v>2768988.160000003</v>
      </c>
      <c r="I235" s="6" t="inlineStr">
        <is>
          <t>โอน</t>
        </is>
      </c>
    </row>
    <row r="236">
      <c r="A236" s="6" t="inlineStr">
        <is>
          <t>2569-02-13</t>
        </is>
      </c>
      <c r="B236" s="6" t="inlineStr">
        <is>
          <t>V-256902-0028</t>
        </is>
      </c>
      <c r="C236" s="6" t="inlineStr">
        <is>
          <t>น.ส.กมลณิสา พุทธา — ทำแคมป์ [เงินสำรองกมลชนก]</t>
        </is>
      </c>
      <c r="D236" s="6" t="inlineStr">
        <is>
          <t>ต้นทุนขาย-วัสดุก่อสร้าง</t>
        </is>
      </c>
      <c r="E236" s="6" t="inlineStr">
        <is>
          <t>ALL</t>
        </is>
      </c>
      <c r="F236" s="10" t="n">
        <v>0</v>
      </c>
      <c r="G236" s="10" t="n">
        <v>1860</v>
      </c>
      <c r="H236" s="10" t="n">
        <v>2767128.160000003</v>
      </c>
      <c r="I236" s="6" t="inlineStr">
        <is>
          <t>โอน</t>
        </is>
      </c>
    </row>
    <row r="237">
      <c r="A237" s="6" t="inlineStr">
        <is>
          <t>2569-02-13</t>
        </is>
      </c>
      <c r="B237" s="6" t="inlineStr">
        <is>
          <t>V-256902-0029</t>
        </is>
      </c>
      <c r="C237" s="6" t="inlineStr">
        <is>
          <t>PP Stamp — ตรายาง [เงินสำรองกมลชนก]</t>
        </is>
      </c>
      <c r="D237" s="6" t="inlineStr">
        <is>
          <t>ค่าใช้จ่ายสำนักงาน</t>
        </is>
      </c>
      <c r="E237" s="6" t="inlineStr">
        <is>
          <t>ALL</t>
        </is>
      </c>
      <c r="F237" s="10" t="n">
        <v>0</v>
      </c>
      <c r="G237" s="10" t="n">
        <v>765.05</v>
      </c>
      <c r="H237" s="10" t="n">
        <v>2766363.110000003</v>
      </c>
      <c r="I237" s="6" t="inlineStr">
        <is>
          <t>โอน</t>
        </is>
      </c>
    </row>
    <row r="238">
      <c r="A238" s="6" t="inlineStr">
        <is>
          <t>2569-02-13</t>
        </is>
      </c>
      <c r="B238" s="6" t="inlineStr">
        <is>
          <t>V-256902-0030</t>
        </is>
      </c>
      <c r="C238" s="6" t="inlineStr">
        <is>
          <t>ศรีพโลค้าวัสดุ สำนักงานใหญ่ — ข้องอ เซียมเทา [เงินสำรองกมลชนก ยอด โอน 4205.10 บาท จ่าย]</t>
        </is>
      </c>
      <c r="D238" s="6" t="inlineStr">
        <is>
          <t>ต้นทุนขาย-วัสดุก่อสร้าง</t>
        </is>
      </c>
      <c r="E238" s="6" t="inlineStr">
        <is>
          <t>ALL</t>
        </is>
      </c>
      <c r="F238" s="10" t="n">
        <v>0</v>
      </c>
      <c r="G238" s="10" t="n">
        <v>3826.32</v>
      </c>
      <c r="H238" s="10" t="n">
        <v>2762536.790000003</v>
      </c>
      <c r="I238" s="6" t="inlineStr">
        <is>
          <t>โอน</t>
        </is>
      </c>
    </row>
    <row r="239">
      <c r="A239" s="6" t="inlineStr">
        <is>
          <t>2569-02-13</t>
        </is>
      </c>
      <c r="B239" s="6" t="inlineStr">
        <is>
          <t>V-256902-0031</t>
        </is>
      </c>
      <c r="C239" s="6" t="inlineStr">
        <is>
          <t>ศรีพโลค้าวัสดุ สำนักงานใหญ่ — ข้องอ เซียมเทา</t>
        </is>
      </c>
      <c r="D239" s="6" t="inlineStr">
        <is>
          <t>ต้นทุนขาย-วัสดุก่อสร้าง</t>
        </is>
      </c>
      <c r="E239" s="6" t="inlineStr">
        <is>
          <t>ALL</t>
        </is>
      </c>
      <c r="F239" s="10" t="n">
        <v>0</v>
      </c>
      <c r="G239" s="10" t="n">
        <v>378.78</v>
      </c>
      <c r="H239" s="10" t="n">
        <v>2762158.010000004</v>
      </c>
      <c r="I239" s="6" t="inlineStr">
        <is>
          <t>โอน</t>
        </is>
      </c>
    </row>
    <row r="240">
      <c r="A240" s="6" t="inlineStr">
        <is>
          <t>2569-02-14</t>
        </is>
      </c>
      <c r="B240" s="6" t="inlineStr">
        <is>
          <t>V-256902-0032</t>
        </is>
      </c>
      <c r="C240" s="6" t="inlineStr">
        <is>
          <t>บริษัท คอมเซเว่น จำกัด (มหาชน) — SanDisk [เงินสำรองกมลชนก]</t>
        </is>
      </c>
      <c r="D240" s="6" t="inlineStr">
        <is>
          <t>ค่าใช้จ่ายสำนักงาน</t>
        </is>
      </c>
      <c r="E240" s="6" t="inlineStr">
        <is>
          <t>ALL</t>
        </is>
      </c>
      <c r="F240" s="10" t="n">
        <v>0</v>
      </c>
      <c r="G240" s="10" t="n">
        <v>1190</v>
      </c>
      <c r="H240" s="10" t="n">
        <v>2760968.010000004</v>
      </c>
      <c r="I240" s="6" t="inlineStr">
        <is>
          <t>โอน</t>
        </is>
      </c>
    </row>
    <row r="241">
      <c r="A241" s="6" t="inlineStr">
        <is>
          <t>2569-02-14</t>
        </is>
      </c>
      <c r="B241" s="6" t="inlineStr">
        <is>
          <t>V-256902-0033</t>
        </is>
      </c>
      <c r="C241" s="6" t="inlineStr">
        <is>
          <t>มิสเตอร์ ดีไอ วาย — hair rubber band [เงินสำรองกมลชนก]</t>
        </is>
      </c>
      <c r="D241" s="6" t="inlineStr">
        <is>
          <t>ค่าโฆษณา-การตลาด</t>
        </is>
      </c>
      <c r="E241" s="6" t="inlineStr">
        <is>
          <t>ALL</t>
        </is>
      </c>
      <c r="F241" s="10" t="n">
        <v>0</v>
      </c>
      <c r="G241" s="10" t="n">
        <v>45</v>
      </c>
      <c r="H241" s="10" t="n">
        <v>2760923.010000004</v>
      </c>
      <c r="I241" s="6" t="inlineStr">
        <is>
          <t>โอน</t>
        </is>
      </c>
    </row>
    <row r="242">
      <c r="A242" s="6" t="inlineStr">
        <is>
          <t>2569-02-14</t>
        </is>
      </c>
      <c r="B242" s="6" t="inlineStr">
        <is>
          <t>V-256902-0034</t>
        </is>
      </c>
      <c r="C242" s="6" t="inlineStr">
        <is>
          <t>บริษัท ชลบุรีอึ้งย่งล้ง จำกัด — ค่าวัสดุก่อสร้าง [**รีมาร์ว่าโอนชำระ  ไม่มีใบเสร็จ]</t>
        </is>
      </c>
      <c r="D242" s="6" t="inlineStr">
        <is>
          <t>ต้นทุนขาย-วัสดุก่อสร้าง</t>
        </is>
      </c>
      <c r="E242" s="6" t="inlineStr">
        <is>
          <t>ALL</t>
        </is>
      </c>
      <c r="F242" s="10" t="n">
        <v>0</v>
      </c>
      <c r="G242" s="10" t="n">
        <v>273520.1</v>
      </c>
      <c r="H242" s="10" t="n">
        <v>2487402.910000003</v>
      </c>
      <c r="I242" s="6" t="inlineStr">
        <is>
          <t>โอน</t>
        </is>
      </c>
    </row>
    <row r="243">
      <c r="A243" s="6" t="inlineStr">
        <is>
          <t>2569-02-14</t>
        </is>
      </c>
      <c r="B243" s="6" t="inlineStr">
        <is>
          <t>V-256902-0035</t>
        </is>
      </c>
      <c r="C243" s="6" t="inlineStr">
        <is>
          <t>แม่บ้านทำความสะอาด — ค่าทำความสะอาด 2 วัน</t>
        </is>
      </c>
      <c r="D243" s="6" t="inlineStr">
        <is>
          <t>ค่าใช้จ่ายสำนักงาน</t>
        </is>
      </c>
      <c r="E243" s="6" t="inlineStr">
        <is>
          <t>ALL</t>
        </is>
      </c>
      <c r="F243" s="10" t="n">
        <v>0</v>
      </c>
      <c r="G243" s="10" t="n">
        <v>800</v>
      </c>
      <c r="H243" s="10" t="n">
        <v>2486602.910000003</v>
      </c>
      <c r="I243" s="6" t="inlineStr">
        <is>
          <t>เงินสด</t>
        </is>
      </c>
    </row>
    <row r="244">
      <c r="A244" s="6" t="inlineStr">
        <is>
          <t>2569-02-15</t>
        </is>
      </c>
      <c r="B244" s="6" t="inlineStr">
        <is>
          <t>V-256902-0036</t>
        </is>
      </c>
      <c r="C244" s="6" t="inlineStr">
        <is>
          <t>ร้านขายของไหว้เจ้า — ของไหว้เจ้า [เงินสำรองกมลชนก]</t>
        </is>
      </c>
      <c r="D244" s="6" t="inlineStr">
        <is>
          <t>ค่าใช้จ่ายสำนักงาน</t>
        </is>
      </c>
      <c r="E244" s="6" t="inlineStr">
        <is>
          <t>ALL</t>
        </is>
      </c>
      <c r="F244" s="10" t="n">
        <v>0</v>
      </c>
      <c r="G244" s="10" t="n">
        <v>2200</v>
      </c>
      <c r="H244" s="10" t="n">
        <v>2484402.910000003</v>
      </c>
      <c r="I244" s="6" t="inlineStr">
        <is>
          <t>เงินสด</t>
        </is>
      </c>
    </row>
    <row r="245">
      <c r="A245" s="6" t="inlineStr">
        <is>
          <t>2569-02-15</t>
        </is>
      </c>
      <c r="B245" s="6" t="inlineStr">
        <is>
          <t>V-256902-0037</t>
        </is>
      </c>
      <c r="C245" s="6" t="inlineStr">
        <is>
          <t>หจก.เพิ่มทรัพย์ ค้าวัสดุ — คอนกรีต0</t>
        </is>
      </c>
      <c r="D245" s="6" t="inlineStr">
        <is>
          <t>ต้นทุนขาย-วัสดุก่อสร้าง</t>
        </is>
      </c>
      <c r="E245" s="6" t="inlineStr">
        <is>
          <t>ALL</t>
        </is>
      </c>
      <c r="F245" s="10" t="n">
        <v>0</v>
      </c>
      <c r="G245" s="10" t="n">
        <v>220890</v>
      </c>
      <c r="H245" s="10" t="n">
        <v>2263512.910000003</v>
      </c>
      <c r="I245" s="6" t="inlineStr">
        <is>
          <t>เช็ค</t>
        </is>
      </c>
    </row>
    <row r="246">
      <c r="A246" s="6" t="inlineStr">
        <is>
          <t>2569-02-15</t>
        </is>
      </c>
      <c r="B246" s="6" t="inlineStr">
        <is>
          <t>V-256902-0038</t>
        </is>
      </c>
      <c r="C246" s="6" t="inlineStr">
        <is>
          <t>แกร็ป — ค่าอาหารทีมงานถ่ายคอนเทนต์ [เงินสำรองกมลชนก ไม่มีใบเสร็จ]</t>
        </is>
      </c>
      <c r="D246" s="6" t="inlineStr">
        <is>
          <t>ค่าใช้จ่ายสำนักงาน</t>
        </is>
      </c>
      <c r="E246" s="6" t="inlineStr">
        <is>
          <t>ALL</t>
        </is>
      </c>
      <c r="F246" s="10" t="n">
        <v>0</v>
      </c>
      <c r="G246" s="10" t="n">
        <v>1000</v>
      </c>
      <c r="H246" s="10" t="n">
        <v>2262512.910000003</v>
      </c>
      <c r="I246" s="6" t="inlineStr">
        <is>
          <t>เงินสด</t>
        </is>
      </c>
    </row>
    <row r="247">
      <c r="A247" s="6" t="inlineStr">
        <is>
          <t>2569-02-16</t>
        </is>
      </c>
      <c r="B247" s="6" t="inlineStr">
        <is>
          <t>V-256902-0039</t>
        </is>
      </c>
      <c r="C247" s="6" t="inlineStr">
        <is>
          <t>น.ส.กนกวรรณ  อ้วนอินทร์ — ค่าจ้างงานมินตรา [เงินสำรองกมลชนก]</t>
        </is>
      </c>
      <c r="D247" s="6" t="inlineStr">
        <is>
          <t>ค่าโฆษณา-การตลาด</t>
        </is>
      </c>
      <c r="E247" s="6" t="inlineStr">
        <is>
          <t>ALL</t>
        </is>
      </c>
      <c r="F247" s="10" t="n">
        <v>0</v>
      </c>
      <c r="G247" s="10" t="n">
        <v>500</v>
      </c>
      <c r="H247" s="10" t="n">
        <v>2262012.910000003</v>
      </c>
      <c r="I247" s="6" t="inlineStr">
        <is>
          <t>โอน</t>
        </is>
      </c>
    </row>
    <row r="248">
      <c r="A248" s="6" t="inlineStr">
        <is>
          <t>2569-02-17</t>
        </is>
      </c>
      <c r="B248" s="6" t="inlineStr">
        <is>
          <t>V-256902-0040</t>
        </is>
      </c>
      <c r="C248" s="6" t="inlineStr">
        <is>
          <t>PT — ค่าน้ำมัน [เงินสำรองกมลชนก]</t>
        </is>
      </c>
      <c r="D248" s="6" t="inlineStr">
        <is>
          <t>ค่าน้ำ-ไฟ-โทรศัพท์</t>
        </is>
      </c>
      <c r="E248" s="6" t="inlineStr">
        <is>
          <t>ALL</t>
        </is>
      </c>
      <c r="F248" s="10" t="n">
        <v>0</v>
      </c>
      <c r="G248" s="10" t="n">
        <v>688</v>
      </c>
      <c r="H248" s="10" t="n">
        <v>2261324.910000003</v>
      </c>
      <c r="I248" s="6" t="inlineStr">
        <is>
          <t>โอน</t>
        </is>
      </c>
    </row>
    <row r="249">
      <c r="A249" s="6" t="inlineStr">
        <is>
          <t>2569-02-18</t>
        </is>
      </c>
      <c r="B249" s="6" t="inlineStr">
        <is>
          <t>V-256902-0041</t>
        </is>
      </c>
      <c r="C249" s="6" t="inlineStr">
        <is>
          <t>นาย ประวิทย์ แสนนอก — มัดจำประตูม้วน [เงินสำรองกมลชนก]</t>
        </is>
      </c>
      <c r="D249" s="6" t="inlineStr">
        <is>
          <t>ต้นทุนขาย-วัสดุก่อสร้าง</t>
        </is>
      </c>
      <c r="E249" s="6" t="inlineStr">
        <is>
          <t>ALL</t>
        </is>
      </c>
      <c r="F249" s="10" t="n">
        <v>0</v>
      </c>
      <c r="G249" s="10" t="n">
        <v>5000</v>
      </c>
      <c r="H249" s="10" t="n">
        <v>2256324.910000003</v>
      </c>
      <c r="I249" s="6" t="inlineStr">
        <is>
          <t>โอน</t>
        </is>
      </c>
    </row>
    <row r="250">
      <c r="A250" s="6" t="inlineStr">
        <is>
          <t>2569-02-19</t>
        </is>
      </c>
      <c r="B250" s="6" t="inlineStr">
        <is>
          <t>V-256902-0042</t>
        </is>
      </c>
      <c r="C250" s="6" t="inlineStr">
        <is>
          <t>officemate — คลิปหนีบกระดาษ แม็ก</t>
        </is>
      </c>
      <c r="D250" s="6" t="inlineStr">
        <is>
          <t>ค่าใช้จ่ายสำนักงาน</t>
        </is>
      </c>
      <c r="E250" s="6" t="inlineStr">
        <is>
          <t>ALL</t>
        </is>
      </c>
      <c r="F250" s="10" t="n">
        <v>0</v>
      </c>
      <c r="G250" s="10" t="n">
        <v>1386</v>
      </c>
      <c r="H250" s="10" t="n">
        <v>2254938.910000003</v>
      </c>
      <c r="I250" s="6" t="inlineStr">
        <is>
          <t>โอน</t>
        </is>
      </c>
    </row>
    <row r="251">
      <c r="A251" s="6" t="inlineStr">
        <is>
          <t>2569-02-19</t>
        </is>
      </c>
      <c r="B251" s="6" t="inlineStr">
        <is>
          <t>V-256902-0043</t>
        </is>
      </c>
      <c r="C251" s="6" t="inlineStr">
        <is>
          <t>นางสาว วิชดา ระวังชัยสงค์ — ค่าแกร็ปส่งสินค่าชุดเช่าคืนร้าน [เงินสำรองกมลชนก]</t>
        </is>
      </c>
      <c r="D251" s="6" t="inlineStr">
        <is>
          <t>ค่าใช้จ่ายสำนักงาน</t>
        </is>
      </c>
      <c r="E251" s="6" t="inlineStr">
        <is>
          <t>ALL</t>
        </is>
      </c>
      <c r="F251" s="10" t="n">
        <v>0</v>
      </c>
      <c r="G251" s="10" t="n">
        <v>238</v>
      </c>
      <c r="H251" s="10" t="n">
        <v>2254700.910000003</v>
      </c>
      <c r="I251" s="6" t="inlineStr">
        <is>
          <t>โอน</t>
        </is>
      </c>
    </row>
    <row r="252">
      <c r="A252" s="6" t="inlineStr">
        <is>
          <t>2569-02-19</t>
        </is>
      </c>
      <c r="B252" s="6" t="inlineStr">
        <is>
          <t>V-256902-0044</t>
        </is>
      </c>
      <c r="C252" s="6" t="inlineStr">
        <is>
          <t>นาย บรรลือศักดิ์ ไพราม — ค่าน้ำมันพี่ใหญ่ อุปกรณ์ไฟช่างลา [เงินสำรองกมลชนก]</t>
        </is>
      </c>
      <c r="D252" s="6" t="inlineStr">
        <is>
          <t>ค่าใช้จ่ายสำนักงาน</t>
        </is>
      </c>
      <c r="E252" s="6" t="inlineStr">
        <is>
          <t>ALL</t>
        </is>
      </c>
      <c r="F252" s="10" t="n">
        <v>0</v>
      </c>
      <c r="G252" s="10" t="n">
        <v>5000</v>
      </c>
      <c r="H252" s="10" t="n">
        <v>2249700.910000003</v>
      </c>
      <c r="I252" s="6" t="inlineStr">
        <is>
          <t>โอน</t>
        </is>
      </c>
    </row>
    <row r="253">
      <c r="A253" s="6" t="inlineStr">
        <is>
          <t>2569-02-19</t>
        </is>
      </c>
      <c r="B253" s="6" t="inlineStr">
        <is>
          <t>V-256902-0045</t>
        </is>
      </c>
      <c r="C253" s="6" t="inlineStr">
        <is>
          <t>ปตท — น้ำมันเดินทางไปทำประกันสังคม [เงินสำรองกมลชนก ไม่มีใบเสร็จ]</t>
        </is>
      </c>
      <c r="D253" s="6" t="inlineStr">
        <is>
          <t>ค่าใช้จ่ายสำนักงาน</t>
        </is>
      </c>
      <c r="E253" s="6" t="inlineStr">
        <is>
          <t>ALL</t>
        </is>
      </c>
      <c r="F253" s="10" t="n">
        <v>0</v>
      </c>
      <c r="G253" s="10" t="n">
        <v>600</v>
      </c>
      <c r="H253" s="10" t="n">
        <v>2249100.910000003</v>
      </c>
      <c r="I253" s="6" t="inlineStr">
        <is>
          <t>เงินสด</t>
        </is>
      </c>
    </row>
    <row r="254">
      <c r="A254" s="6" t="inlineStr">
        <is>
          <t>2569-02-20</t>
        </is>
      </c>
      <c r="B254" s="6" t="inlineStr">
        <is>
          <t>V-256902-0046</t>
        </is>
      </c>
      <c r="C254" s="6" t="inlineStr">
        <is>
          <t>พีเจ — กาวท่อ สามทอง ข้องอ [โอนให้พี่ใหญ่ 275 อีก 2000 เงินสด]</t>
        </is>
      </c>
      <c r="D254" s="6" t="inlineStr">
        <is>
          <t>ต้นทุนขาย-วัสดุก่อสร้าง</t>
        </is>
      </c>
      <c r="E254" s="6" t="inlineStr">
        <is>
          <t>ALL</t>
        </is>
      </c>
      <c r="F254" s="10" t="n">
        <v>0</v>
      </c>
      <c r="G254" s="10" t="n">
        <v>2275</v>
      </c>
      <c r="H254" s="10" t="n">
        <v>2246825.910000003</v>
      </c>
      <c r="I254" s="6" t="inlineStr">
        <is>
          <t>-</t>
        </is>
      </c>
    </row>
    <row r="255">
      <c r="A255" s="6" t="inlineStr">
        <is>
          <t>2569-02-20</t>
        </is>
      </c>
      <c r="B255" s="6" t="inlineStr">
        <is>
          <t>V-256902-0047</t>
        </is>
      </c>
      <c r="C255" s="6" t="inlineStr">
        <is>
          <t>ADS — ยิงแอดโครงการ [เงินสำรองกมลชนก]</t>
        </is>
      </c>
      <c r="D255" s="6" t="inlineStr">
        <is>
          <t>ค่าโฆษณา-การตลาด</t>
        </is>
      </c>
      <c r="E255" s="6" t="inlineStr">
        <is>
          <t>ALL</t>
        </is>
      </c>
      <c r="F255" s="10" t="n">
        <v>0</v>
      </c>
      <c r="G255" s="10" t="n">
        <v>3000</v>
      </c>
      <c r="H255" s="10" t="n">
        <v>2243825.910000003</v>
      </c>
      <c r="I255" s="6" t="inlineStr">
        <is>
          <t>โอน</t>
        </is>
      </c>
    </row>
    <row r="256">
      <c r="A256" s="6" t="inlineStr">
        <is>
          <t>2569-02-20</t>
        </is>
      </c>
      <c r="B256" s="6" t="inlineStr">
        <is>
          <t>V-256902-0048</t>
        </is>
      </c>
      <c r="C256" s="6" t="inlineStr">
        <is>
          <t>กังสดานค้าไม้ — ก็อกน้ำ ท่อน้ำ</t>
        </is>
      </c>
      <c r="D256" s="6" t="inlineStr">
        <is>
          <t>ต้นทุนขาย-วัสดุก่อสร้าง</t>
        </is>
      </c>
      <c r="E256" s="6" t="inlineStr">
        <is>
          <t>ALL</t>
        </is>
      </c>
      <c r="F256" s="10" t="n">
        <v>0</v>
      </c>
      <c r="G256" s="10" t="n">
        <v>11023</v>
      </c>
      <c r="H256" s="10" t="n">
        <v>2232802.910000003</v>
      </c>
      <c r="I256" s="6" t="inlineStr">
        <is>
          <t>โอน</t>
        </is>
      </c>
    </row>
    <row r="257">
      <c r="A257" s="6" t="inlineStr">
        <is>
          <t>2569-02-20</t>
        </is>
      </c>
      <c r="B257" s="6" t="inlineStr">
        <is>
          <t>V-256902-0049</t>
        </is>
      </c>
      <c r="C257" s="6" t="inlineStr">
        <is>
          <t>บริษัท เซเครทไลท์ จำกัด — โคมไฟหน้าป้อม รปภ.</t>
        </is>
      </c>
      <c r="D257" s="6" t="inlineStr">
        <is>
          <t>ต้นทุนขาย-วัสดุก่อสร้าง</t>
        </is>
      </c>
      <c r="E257" s="6" t="inlineStr">
        <is>
          <t>ALL</t>
        </is>
      </c>
      <c r="F257" s="10" t="n">
        <v>0</v>
      </c>
      <c r="G257" s="10" t="n">
        <v>9202</v>
      </c>
      <c r="H257" s="10" t="n">
        <v>2223600.910000003</v>
      </c>
      <c r="I257" s="6" t="inlineStr">
        <is>
          <t>โอน</t>
        </is>
      </c>
    </row>
    <row r="258">
      <c r="A258" s="6" t="inlineStr">
        <is>
          <t>2569-02-20</t>
        </is>
      </c>
      <c r="B258" s="6" t="inlineStr">
        <is>
          <t>V-256902-0050</t>
        </is>
      </c>
      <c r="C258" s="6" t="inlineStr">
        <is>
          <t>บริษัท ช.พูนกิจชลบุรี — ข้อต่อ พีอี 32*32 [ไม่มีใบเสร็จ ยึดวันที่ตามใบกำกับภาษี]</t>
        </is>
      </c>
      <c r="D258" s="6" t="inlineStr">
        <is>
          <t>ต้นทุนขาย-วัสดุก่อสร้าง</t>
        </is>
      </c>
      <c r="E258" s="6" t="inlineStr">
        <is>
          <t>ALL</t>
        </is>
      </c>
      <c r="F258" s="10" t="n">
        <v>0</v>
      </c>
      <c r="G258" s="10" t="n">
        <v>455.97</v>
      </c>
      <c r="H258" s="10" t="n">
        <v>2223144.940000003</v>
      </c>
      <c r="I258" s="6" t="inlineStr">
        <is>
          <t>-</t>
        </is>
      </c>
    </row>
    <row r="259">
      <c r="A259" s="6" t="inlineStr">
        <is>
          <t>2569-02-20</t>
        </is>
      </c>
      <c r="B259" s="6" t="inlineStr">
        <is>
          <t>V-256902-0051</t>
        </is>
      </c>
      <c r="C259" s="6" t="inlineStr">
        <is>
          <t>นายโก ราษีทอง — ซ่อมท่อหน้าโครงการ [เงินสำรองกมลชนก]</t>
        </is>
      </c>
      <c r="D259" s="6" t="inlineStr">
        <is>
          <t>ต้นทุนขาย-วัสดุก่อสร้าง</t>
        </is>
      </c>
      <c r="E259" s="6" t="inlineStr">
        <is>
          <t>ALL</t>
        </is>
      </c>
      <c r="F259" s="10" t="n">
        <v>0</v>
      </c>
      <c r="G259" s="10" t="n">
        <v>1000</v>
      </c>
      <c r="H259" s="10" t="n">
        <v>2222144.940000003</v>
      </c>
      <c r="I259" s="6" t="inlineStr">
        <is>
          <t>โอน</t>
        </is>
      </c>
    </row>
    <row r="260">
      <c r="A260" s="6" t="inlineStr">
        <is>
          <t>2569-02-21</t>
        </is>
      </c>
      <c r="B260" s="6" t="inlineStr">
        <is>
          <t>V-256902-0052</t>
        </is>
      </c>
      <c r="C260" s="6" t="inlineStr">
        <is>
          <t>นาย ประวิทย์ แสนนอก — มัดจำประตูม้วน</t>
        </is>
      </c>
      <c r="D260" s="6" t="inlineStr">
        <is>
          <t>ต้นทุนขาย-วัสดุก่อสร้าง</t>
        </is>
      </c>
      <c r="E260" s="6" t="inlineStr">
        <is>
          <t>ALL</t>
        </is>
      </c>
      <c r="F260" s="10" t="n">
        <v>0</v>
      </c>
      <c r="G260" s="10" t="n">
        <v>6989.2</v>
      </c>
      <c r="H260" s="10" t="n">
        <v>2215155.740000003</v>
      </c>
      <c r="I260" s="6" t="inlineStr">
        <is>
          <t>โอน</t>
        </is>
      </c>
    </row>
    <row r="261">
      <c r="A261" s="6" t="inlineStr">
        <is>
          <t>2569-02-21</t>
        </is>
      </c>
      <c r="B261" s="6" t="inlineStr">
        <is>
          <t>V-256902-0053</t>
        </is>
      </c>
      <c r="C261" s="6" t="inlineStr">
        <is>
          <t>บริษัท เคลีย์ เวิลด์ บิสิเนส กรุ๊ป จำกัด — ถังบำบัดส่วนกลาง [น้าแก้วถ่ายส่งมาแค่บิล]</t>
        </is>
      </c>
      <c r="D261" s="6" t="inlineStr">
        <is>
          <t>ต้นทุนขาย-วัสดุก่อสร้าง</t>
        </is>
      </c>
      <c r="E261" s="6" t="inlineStr">
        <is>
          <t>ALL</t>
        </is>
      </c>
      <c r="F261" s="10" t="n">
        <v>0</v>
      </c>
      <c r="G261" s="10" t="n">
        <v>316720</v>
      </c>
      <c r="H261" s="10" t="n">
        <v>1898435.740000003</v>
      </c>
      <c r="I261" s="6" t="inlineStr">
        <is>
          <t>-</t>
        </is>
      </c>
    </row>
    <row r="262">
      <c r="A262" s="6" t="inlineStr">
        <is>
          <t>2569-02-21</t>
        </is>
      </c>
      <c r="B262" s="6" t="inlineStr">
        <is>
          <t>V-256902-0054</t>
        </is>
      </c>
      <c r="C262" s="6" t="inlineStr">
        <is>
          <t>MR.BORA — ติดไฟออฟฟิศ [เงินสำรองกมลชนก]</t>
        </is>
      </c>
      <c r="D262" s="6" t="inlineStr">
        <is>
          <t>ค่าใช้จ่ายอื่น</t>
        </is>
      </c>
      <c r="E262" s="6" t="inlineStr">
        <is>
          <t>ALL</t>
        </is>
      </c>
      <c r="F262" s="10" t="n">
        <v>0</v>
      </c>
      <c r="G262" s="10" t="n">
        <v>1000</v>
      </c>
      <c r="H262" s="10" t="n">
        <v>1897435.740000003</v>
      </c>
      <c r="I262" s="6" t="inlineStr">
        <is>
          <t>โอน</t>
        </is>
      </c>
    </row>
    <row r="263">
      <c r="A263" s="6" t="inlineStr">
        <is>
          <t>2569-02-22</t>
        </is>
      </c>
      <c r="B263" s="6" t="inlineStr">
        <is>
          <t>V-256902-0055</t>
        </is>
      </c>
      <c r="C263" s="6" t="inlineStr">
        <is>
          <t>นาย พงสฏณ ดีแสน — ร้านกาแฟ [เงินสำรองกมลชนก]</t>
        </is>
      </c>
      <c r="D263" s="6" t="inlineStr">
        <is>
          <t>ค่าใช้จ่ายอื่น</t>
        </is>
      </c>
      <c r="E263" s="6" t="inlineStr">
        <is>
          <t>ALL</t>
        </is>
      </c>
      <c r="F263" s="10" t="n">
        <v>0</v>
      </c>
      <c r="G263" s="10" t="n">
        <v>14809</v>
      </c>
      <c r="H263" s="10" t="n">
        <v>1882626.740000003</v>
      </c>
      <c r="I263" s="6" t="inlineStr">
        <is>
          <t>โอน</t>
        </is>
      </c>
    </row>
    <row r="264">
      <c r="A264" s="6" t="inlineStr">
        <is>
          <t>2569-02-23</t>
        </is>
      </c>
      <c r="B264" s="6" t="inlineStr">
        <is>
          <t>V-256902-0056</t>
        </is>
      </c>
      <c r="C264" s="6" t="inlineStr">
        <is>
          <t>บริษัท โอเอสที โอเวอร์ซีส์ จำกัด — ซองใส่ทะเบียน [สำรองกมลชนก]</t>
        </is>
      </c>
      <c r="D264" s="6" t="inlineStr">
        <is>
          <t>ค่าใช้จ่ายสำนักงาน</t>
        </is>
      </c>
      <c r="E264" s="6" t="inlineStr">
        <is>
          <t>ALL</t>
        </is>
      </c>
      <c r="F264" s="10" t="n">
        <v>0</v>
      </c>
      <c r="G264" s="10" t="n">
        <v>474.99</v>
      </c>
      <c r="H264" s="10" t="n">
        <v>1882151.750000003</v>
      </c>
      <c r="I264" s="6" t="inlineStr">
        <is>
          <t>โอน</t>
        </is>
      </c>
    </row>
    <row r="265">
      <c r="A265" s="6" t="inlineStr">
        <is>
          <t>2569-02-27</t>
        </is>
      </c>
      <c r="B265" s="6" t="inlineStr">
        <is>
          <t>V-256902-0057</t>
        </is>
      </c>
      <c r="C265" s="6" t="inlineStr">
        <is>
          <t>คุณสิริการย์ จิรอภิวงศ์ชัย — ถังบำบัด</t>
        </is>
      </c>
      <c r="D265" s="6" t="inlineStr">
        <is>
          <t>ต้นทุนขาย-วัสดุก่อสร้าง</t>
        </is>
      </c>
      <c r="E265" s="6" t="inlineStr">
        <is>
          <t>ALL</t>
        </is>
      </c>
      <c r="F265" s="10" t="n">
        <v>0</v>
      </c>
      <c r="G265" s="10" t="n">
        <v>41990</v>
      </c>
      <c r="H265" s="10" t="n">
        <v>1840161.750000003</v>
      </c>
      <c r="I265" s="6" t="inlineStr">
        <is>
          <t>เช็ค</t>
        </is>
      </c>
    </row>
    <row r="266">
      <c r="A266" s="6" t="inlineStr">
        <is>
          <t>2569-03-01</t>
        </is>
      </c>
      <c r="B266" s="6" t="inlineStr">
        <is>
          <t>V-256903-0001</t>
        </is>
      </c>
      <c r="C266" s="6" t="inlineStr">
        <is>
          <t>แกร็ปไทยแลนด์ — เชือกฟาง [สำรองกมลชนก]</t>
        </is>
      </c>
      <c r="D266" s="6" t="inlineStr">
        <is>
          <t>ต้นทุนขาย-วัสดุก่อสร้าง</t>
        </is>
      </c>
      <c r="E266" s="6" t="inlineStr">
        <is>
          <t>ALL</t>
        </is>
      </c>
      <c r="F266" s="10" t="n">
        <v>0</v>
      </c>
      <c r="G266" s="10" t="n">
        <v>592</v>
      </c>
      <c r="H266" s="10" t="n">
        <v>1839569.750000003</v>
      </c>
      <c r="I266" s="6" t="inlineStr">
        <is>
          <t>โอน</t>
        </is>
      </c>
    </row>
    <row r="267">
      <c r="A267" s="6" t="inlineStr">
        <is>
          <t>2569-03-01</t>
        </is>
      </c>
      <c r="B267" s="6" t="inlineStr">
        <is>
          <t>V-256903-0002</t>
        </is>
      </c>
      <c r="C267" s="6" t="inlineStr">
        <is>
          <t>กรมพัฒนาธุรกิจ — ค่าหนังสือรับรอง [สำรองกมลชนก]</t>
        </is>
      </c>
      <c r="D267" s="6" t="inlineStr">
        <is>
          <t>ค่าใช้จ่ายสำนักงาน</t>
        </is>
      </c>
      <c r="E267" s="6" t="inlineStr">
        <is>
          <t>ALL</t>
        </is>
      </c>
      <c r="F267" s="10" t="n">
        <v>0</v>
      </c>
      <c r="G267" s="10" t="n">
        <v>300</v>
      </c>
      <c r="H267" s="10" t="n">
        <v>1839269.750000003</v>
      </c>
      <c r="I267" s="6" t="inlineStr">
        <is>
          <t>โอน</t>
        </is>
      </c>
    </row>
    <row r="268">
      <c r="A268" s="6" t="inlineStr">
        <is>
          <t>2569-03-02</t>
        </is>
      </c>
      <c r="B268" s="6" t="inlineStr">
        <is>
          <t>V-256903-0003</t>
        </is>
      </c>
      <c r="C268" s="6" t="inlineStr">
        <is>
          <t>สำนักงานประกันสังคม — ค่าธรรมเนียมพนักงานเข้าปกส. [สำรองกมลชนก]</t>
        </is>
      </c>
      <c r="D268" s="6" t="inlineStr">
        <is>
          <t>ค่าใช้จ่ายสำนักงาน</t>
        </is>
      </c>
      <c r="E268" s="6" t="inlineStr">
        <is>
          <t>ALL</t>
        </is>
      </c>
      <c r="F268" s="10" t="n">
        <v>0</v>
      </c>
      <c r="G268" s="10" t="n">
        <v>2090</v>
      </c>
      <c r="H268" s="10" t="n">
        <v>1837179.750000003</v>
      </c>
      <c r="I268" s="6" t="inlineStr">
        <is>
          <t>โอน</t>
        </is>
      </c>
    </row>
    <row r="269">
      <c r="A269" s="6" t="inlineStr">
        <is>
          <t>2569-03-07</t>
        </is>
      </c>
      <c r="B269" s="6" t="inlineStr">
        <is>
          <t>V-256903-0004</t>
        </is>
      </c>
      <c r="C269" s="6" t="inlineStr">
        <is>
          <t>ศรีพโลค้าวัสดุ สำนักงานใหญ่ — ปูนกาว ท่อ เซี่ยม ข้อต่อกันซึม [สำรองกมลชนก]</t>
        </is>
      </c>
      <c r="D269" s="6" t="inlineStr">
        <is>
          <t>ต้นทุนขาย-วัสดุก่อสร้าง</t>
        </is>
      </c>
      <c r="E269" s="6" t="inlineStr">
        <is>
          <t>ALL</t>
        </is>
      </c>
      <c r="F269" s="10" t="n">
        <v>0</v>
      </c>
      <c r="G269" s="10" t="n">
        <v>5640</v>
      </c>
      <c r="H269" s="10" t="n">
        <v>1831539.750000003</v>
      </c>
      <c r="I269" s="6" t="inlineStr">
        <is>
          <t>โอน</t>
        </is>
      </c>
    </row>
    <row r="270">
      <c r="A270" s="6" t="inlineStr">
        <is>
          <t>2569-03-07</t>
        </is>
      </c>
      <c r="B270" s="6" t="inlineStr">
        <is>
          <t>V-256903-0005</t>
        </is>
      </c>
      <c r="C270" s="6" t="inlineStr">
        <is>
          <t>ศรีพโลค้าวัสดุ สำนักงานใหญ่ — เซี่ยม ข้องอ [จ่ายโอน2000 ทอน 190]</t>
        </is>
      </c>
      <c r="D270" s="6" t="inlineStr">
        <is>
          <t>ต้นทุนขาย-วัสดุก่อสร้าง</t>
        </is>
      </c>
      <c r="E270" s="6" t="inlineStr">
        <is>
          <t>ALL</t>
        </is>
      </c>
      <c r="F270" s="10" t="n">
        <v>0</v>
      </c>
      <c r="G270" s="10" t="n">
        <v>1810</v>
      </c>
      <c r="H270" s="10" t="n">
        <v>1829729.750000003</v>
      </c>
      <c r="I270" s="6" t="inlineStr">
        <is>
          <t>โอน</t>
        </is>
      </c>
    </row>
    <row r="271">
      <c r="A271" s="6" t="inlineStr">
        <is>
          <t>2569-03-07</t>
        </is>
      </c>
      <c r="B271" s="6" t="inlineStr">
        <is>
          <t>V-256903-0006</t>
        </is>
      </c>
      <c r="C271" s="6" t="inlineStr">
        <is>
          <t>แม่บ้านโครงการ — ค่าแรงทำความสะอาด 4 วัน [สำรองกมลชนก]</t>
        </is>
      </c>
      <c r="D271" s="6" t="inlineStr">
        <is>
          <t>ต้นทุนขาย-วัสดุก่อสร้าง</t>
        </is>
      </c>
      <c r="E271" s="6" t="inlineStr">
        <is>
          <t>ALL</t>
        </is>
      </c>
      <c r="F271" s="10" t="n">
        <v>0</v>
      </c>
      <c r="G271" s="10" t="n">
        <v>1600</v>
      </c>
      <c r="H271" s="10" t="n">
        <v>1828129.750000003</v>
      </c>
      <c r="I271" s="6" t="inlineStr">
        <is>
          <t>เงินสด</t>
        </is>
      </c>
    </row>
    <row r="272">
      <c r="A272" s="6" t="inlineStr">
        <is>
          <t>2569-03-07</t>
        </is>
      </c>
      <c r="B272" s="6" t="inlineStr">
        <is>
          <t>V-256903-0007</t>
        </is>
      </c>
      <c r="C272" s="6" t="inlineStr">
        <is>
          <t>ศรีพโลค้าวัสดุ สำนักงานใหญ่ — ท่อ1*2 นิ้ว [สำรองกมลชนก]</t>
        </is>
      </c>
      <c r="D272" s="6" t="inlineStr">
        <is>
          <t>ต้นทุนขาย-วัสดุก่อสร้าง</t>
        </is>
      </c>
      <c r="E272" s="6" t="inlineStr">
        <is>
          <t>ALL</t>
        </is>
      </c>
      <c r="F272" s="10" t="n">
        <v>0</v>
      </c>
      <c r="G272" s="10" t="n">
        <v>1575</v>
      </c>
      <c r="H272" s="10" t="n">
        <v>1826554.750000003</v>
      </c>
      <c r="I272" s="6" t="inlineStr">
        <is>
          <t>โอน</t>
        </is>
      </c>
    </row>
    <row r="273">
      <c r="A273" s="6" t="inlineStr">
        <is>
          <t>2569-03-09</t>
        </is>
      </c>
      <c r="B273" s="6" t="inlineStr">
        <is>
          <t>V-256903-0008</t>
        </is>
      </c>
      <c r="C273" s="6" t="inlineStr">
        <is>
          <t>บางจากกรีนเนท จำกัด — น้ำมัน 2 แกลลอน [สำรองกมลชนก]</t>
        </is>
      </c>
      <c r="D273" s="6" t="inlineStr">
        <is>
          <t>ต้นทุนขาย-วัสดุก่อสร้าง</t>
        </is>
      </c>
      <c r="E273" s="6" t="inlineStr">
        <is>
          <t>ALL</t>
        </is>
      </c>
      <c r="F273" s="10" t="n">
        <v>0</v>
      </c>
      <c r="G273" s="10" t="n">
        <v>1200</v>
      </c>
      <c r="H273" s="10" t="n">
        <v>1825354.750000003</v>
      </c>
      <c r="I273" s="6" t="inlineStr">
        <is>
          <t>โอน</t>
        </is>
      </c>
    </row>
    <row r="274">
      <c r="A274" s="6" t="inlineStr">
        <is>
          <t>2569-03-09</t>
        </is>
      </c>
      <c r="B274" s="6" t="inlineStr">
        <is>
          <t>V-256903-0009</t>
        </is>
      </c>
      <c r="C274" s="6" t="inlineStr">
        <is>
          <t>ศรีพโลค้าวัสดุ สำนักงานใหญ่ — ข้อตรง 1*2 นิ้ว น้ำมัน [สำรองกมลชนก]</t>
        </is>
      </c>
      <c r="D274" s="6" t="inlineStr">
        <is>
          <t>ต้นทุนขาย-วัสดุก่อสร้าง</t>
        </is>
      </c>
      <c r="E274" s="6" t="inlineStr">
        <is>
          <t>ALL</t>
        </is>
      </c>
      <c r="F274" s="10" t="n">
        <v>0</v>
      </c>
      <c r="G274" s="10" t="n">
        <v>510</v>
      </c>
      <c r="H274" s="10" t="n">
        <v>1824844.750000003</v>
      </c>
      <c r="I274" s="6" t="inlineStr">
        <is>
          <t>โอน</t>
        </is>
      </c>
    </row>
    <row r="275">
      <c r="A275" s="6" t="inlineStr">
        <is>
          <t>2569-03-12</t>
        </is>
      </c>
      <c r="B275" s="6" t="inlineStr">
        <is>
          <t>V-256903-0010</t>
        </is>
      </c>
      <c r="C275" s="6" t="inlineStr">
        <is>
          <t>ศรีพโลค้าวัสดุ สำนักงานใหญ่ — ใบตัด14นิ้ว [ไม่มีสลิปมีแต่ใบเสร็จ]</t>
        </is>
      </c>
      <c r="D275" s="6" t="inlineStr">
        <is>
          <t>ต้นทุนขาย-วัสดุก่อสร้าง</t>
        </is>
      </c>
      <c r="E275" s="6" t="inlineStr">
        <is>
          <t>ALL</t>
        </is>
      </c>
      <c r="F275" s="10" t="n">
        <v>0</v>
      </c>
      <c r="G275" s="10" t="n">
        <v>675</v>
      </c>
      <c r="H275" s="10" t="n">
        <v>1824169.750000003</v>
      </c>
      <c r="I275" s="6" t="inlineStr"/>
    </row>
    <row r="276">
      <c r="A276" s="6" t="inlineStr">
        <is>
          <t>2569-03-12</t>
        </is>
      </c>
      <c r="B276" s="6" t="inlineStr">
        <is>
          <t>V-256903-0011</t>
        </is>
      </c>
      <c r="C276" s="6" t="inlineStr">
        <is>
          <t>แฟมิลี่เครน — เครน 1 วัน [สำรองกมลชนก หัก ณ ที่จ่าย]</t>
        </is>
      </c>
      <c r="D276" s="6" t="inlineStr">
        <is>
          <t>ต้นทุนขาย-วัสดุก่อสร้าง</t>
        </is>
      </c>
      <c r="E276" s="6" t="inlineStr">
        <is>
          <t>ALL</t>
        </is>
      </c>
      <c r="F276" s="10" t="n">
        <v>0</v>
      </c>
      <c r="G276" s="10" t="n">
        <v>6760</v>
      </c>
      <c r="H276" s="10" t="n">
        <v>1817409.750000003</v>
      </c>
      <c r="I276" s="6" t="inlineStr">
        <is>
          <t>โอน</t>
        </is>
      </c>
    </row>
    <row r="277">
      <c r="A277" s="6" t="inlineStr">
        <is>
          <t>2569-03-13</t>
        </is>
      </c>
      <c r="B277" s="6" t="inlineStr">
        <is>
          <t>V-256903-0012</t>
        </is>
      </c>
      <c r="C277" s="6" t="inlineStr">
        <is>
          <t>บริษัท ซิมพลิฟาย — น้ำมัน 2 แกลลอน [สำรองกมลชนก]</t>
        </is>
      </c>
      <c r="D277" s="6" t="inlineStr">
        <is>
          <t>ต้นทุนขาย-วัสดุก่อสร้าง</t>
        </is>
      </c>
      <c r="E277" s="6" t="inlineStr">
        <is>
          <t>ALL</t>
        </is>
      </c>
      <c r="F277" s="10" t="n">
        <v>0</v>
      </c>
      <c r="G277" s="10" t="n">
        <v>1500</v>
      </c>
      <c r="H277" s="10" t="n">
        <v>1815909.750000003</v>
      </c>
      <c r="I277" s="6" t="inlineStr">
        <is>
          <t>โอน</t>
        </is>
      </c>
    </row>
    <row r="278">
      <c r="A278" s="6" t="inlineStr">
        <is>
          <t>2569-03-13</t>
        </is>
      </c>
      <c r="B278" s="6" t="inlineStr">
        <is>
          <t>V-256903-0013</t>
        </is>
      </c>
      <c r="C278" s="6" t="inlineStr">
        <is>
          <t>Office Mate — ของใช้สำนักงาน [สำรองกมลชนก]</t>
        </is>
      </c>
      <c r="D278" s="6" t="inlineStr">
        <is>
          <t>ค่าใช้จ่ายสำนักงาน</t>
        </is>
      </c>
      <c r="E278" s="6" t="inlineStr">
        <is>
          <t>ALL</t>
        </is>
      </c>
      <c r="F278" s="10" t="n">
        <v>0</v>
      </c>
      <c r="G278" s="10" t="n">
        <v>1086</v>
      </c>
      <c r="H278" s="10" t="n">
        <v>1814823.750000003</v>
      </c>
      <c r="I278" s="6" t="inlineStr">
        <is>
          <t>โอน</t>
        </is>
      </c>
    </row>
    <row r="279">
      <c r="A279" s="6" t="inlineStr">
        <is>
          <t>2569-03-13</t>
        </is>
      </c>
      <c r="B279" s="6" t="inlineStr">
        <is>
          <t>V-256903-0014</t>
        </is>
      </c>
      <c r="C279" s="6" t="inlineStr">
        <is>
          <t>กังสดาลค้าไม้ — รางน้ำตะเฆ่ [สำรองกมลชนก]</t>
        </is>
      </c>
      <c r="D279" s="6" t="inlineStr">
        <is>
          <t>ต้นทุนขาย-วัสดุก่อสร้าง</t>
        </is>
      </c>
      <c r="E279" s="6" t="inlineStr">
        <is>
          <t>ALL</t>
        </is>
      </c>
      <c r="F279" s="10" t="n">
        <v>0</v>
      </c>
      <c r="G279" s="10" t="n">
        <v>800</v>
      </c>
      <c r="H279" s="10" t="n">
        <v>1814023.750000003</v>
      </c>
      <c r="I279" s="6" t="inlineStr">
        <is>
          <t>โอน</t>
        </is>
      </c>
    </row>
    <row r="280">
      <c r="A280" s="6" t="inlineStr">
        <is>
          <t>2569-03-14</t>
        </is>
      </c>
      <c r="B280" s="6" t="inlineStr">
        <is>
          <t>V-256903-0015</t>
        </is>
      </c>
      <c r="C280" s="6" t="inlineStr">
        <is>
          <t>MEGA HOME — ค่าชั้นวางวัสดุก่อสร้าง [สำรองกมลชนก]</t>
        </is>
      </c>
      <c r="D280" s="6" t="inlineStr">
        <is>
          <t>ต้นทุนขาย-วัสดุก่อสร้าง</t>
        </is>
      </c>
      <c r="E280" s="6" t="inlineStr">
        <is>
          <t>ALL</t>
        </is>
      </c>
      <c r="F280" s="10" t="n">
        <v>0</v>
      </c>
      <c r="G280" s="10" t="n">
        <v>6964.6</v>
      </c>
      <c r="H280" s="10" t="n">
        <v>1807059.150000003</v>
      </c>
      <c r="I280" s="6" t="inlineStr">
        <is>
          <t>โอน</t>
        </is>
      </c>
    </row>
    <row r="281">
      <c r="A281" s="6" t="inlineStr">
        <is>
          <t>2569-03-14</t>
        </is>
      </c>
      <c r="B281" s="6" t="inlineStr">
        <is>
          <t>V-256903-0016</t>
        </is>
      </c>
      <c r="C281" s="6" t="inlineStr">
        <is>
          <t>แม่บ้านโครงการ — ค่าแรงนับของในสต็อก [สำรองกมลชนก]</t>
        </is>
      </c>
      <c r="D281" s="6" t="inlineStr">
        <is>
          <t>ค่าใช้จ่ายอื่น</t>
        </is>
      </c>
      <c r="E281" s="6" t="inlineStr">
        <is>
          <t>ALL</t>
        </is>
      </c>
      <c r="F281" s="10" t="n">
        <v>0</v>
      </c>
      <c r="G281" s="10" t="n">
        <v>800</v>
      </c>
      <c r="H281" s="10" t="n">
        <v>1806259.150000003</v>
      </c>
      <c r="I281" s="6" t="inlineStr">
        <is>
          <t>เงินสด</t>
        </is>
      </c>
    </row>
    <row r="282">
      <c r="A282" s="6" t="inlineStr">
        <is>
          <t>2569-03-14</t>
        </is>
      </c>
      <c r="B282" s="6" t="inlineStr">
        <is>
          <t>V-256903-0017</t>
        </is>
      </c>
      <c r="C282" s="6" t="inlineStr">
        <is>
          <t>ใส่ซองขอทะเบียนบ้าน — ใส่ซองขอทะเบียนบ้าน [สำรองกมลชนก]</t>
        </is>
      </c>
      <c r="D282" s="6" t="inlineStr">
        <is>
          <t>ค่าใช้จ่ายอื่น</t>
        </is>
      </c>
      <c r="E282" s="6" t="inlineStr">
        <is>
          <t>ALL</t>
        </is>
      </c>
      <c r="F282" s="10" t="n">
        <v>0</v>
      </c>
      <c r="G282" s="10" t="n">
        <v>2600</v>
      </c>
      <c r="H282" s="10" t="n">
        <v>1803659.150000003</v>
      </c>
      <c r="I282" s="6" t="inlineStr">
        <is>
          <t>เงินสด</t>
        </is>
      </c>
    </row>
    <row r="283">
      <c r="A283" s="6" t="inlineStr">
        <is>
          <t>2569-03-14</t>
        </is>
      </c>
      <c r="B283" s="6" t="inlineStr">
        <is>
          <t>V-256903-0018</t>
        </is>
      </c>
      <c r="C283" s="6" t="inlineStr">
        <is>
          <t>ใส่ซอง ธอส — ใส่ซอง ธอส [สำรองกมลชนก]</t>
        </is>
      </c>
      <c r="D283" s="6" t="inlineStr">
        <is>
          <t>ค่าใช้จ่ายอื่น</t>
        </is>
      </c>
      <c r="E283" s="6" t="inlineStr">
        <is>
          <t>ALL</t>
        </is>
      </c>
      <c r="F283" s="10" t="n">
        <v>0</v>
      </c>
      <c r="G283" s="10" t="n">
        <v>5000</v>
      </c>
      <c r="H283" s="10" t="n">
        <v>1798659.150000003</v>
      </c>
      <c r="I283" s="6" t="inlineStr">
        <is>
          <t>เงินสด</t>
        </is>
      </c>
    </row>
    <row r="284">
      <c r="A284" s="6" t="inlineStr">
        <is>
          <t>2569-03-15</t>
        </is>
      </c>
      <c r="B284" s="6" t="inlineStr">
        <is>
          <t>V-256903-0019</t>
        </is>
      </c>
      <c r="C284" s="6" t="inlineStr">
        <is>
          <t>บุญถาวร — ไฟติดผนัง W7084</t>
        </is>
      </c>
      <c r="D284" s="6" t="inlineStr">
        <is>
          <t>ต้นทุนขาย-วัสดุก่อสร้าง</t>
        </is>
      </c>
      <c r="E284" s="6" t="inlineStr">
        <is>
          <t>ALL</t>
        </is>
      </c>
      <c r="F284" s="10" t="n">
        <v>0</v>
      </c>
      <c r="G284" s="10" t="n">
        <v>9520</v>
      </c>
      <c r="H284" s="10" t="n">
        <v>1789139.150000003</v>
      </c>
      <c r="I284" s="6" t="inlineStr">
        <is>
          <t>บัตรเครดิต</t>
        </is>
      </c>
    </row>
    <row r="285">
      <c r="A285" s="6" t="inlineStr">
        <is>
          <t>2569-03-15</t>
        </is>
      </c>
      <c r="B285" s="6" t="inlineStr">
        <is>
          <t>V-256903-0020</t>
        </is>
      </c>
      <c r="C285" s="6" t="inlineStr">
        <is>
          <t>บุญถาวร — หลอดไฟ</t>
        </is>
      </c>
      <c r="D285" s="6" t="inlineStr">
        <is>
          <t>ต้นทุนขาย-วัสดุก่อสร้าง</t>
        </is>
      </c>
      <c r="E285" s="6" t="inlineStr">
        <is>
          <t>ALL</t>
        </is>
      </c>
      <c r="F285" s="10" t="n">
        <v>0</v>
      </c>
      <c r="G285" s="10" t="n">
        <v>1584</v>
      </c>
      <c r="H285" s="10" t="n">
        <v>1787555.150000003</v>
      </c>
      <c r="I285" s="6" t="inlineStr">
        <is>
          <t>บัตรเครดิต</t>
        </is>
      </c>
    </row>
    <row r="286">
      <c r="A286" s="6" t="inlineStr">
        <is>
          <t>2569-03-16</t>
        </is>
      </c>
      <c r="B286" s="6" t="inlineStr">
        <is>
          <t>V-256903-0021</t>
        </is>
      </c>
      <c r="C286" s="6" t="inlineStr">
        <is>
          <t>บริษัท ซิมพลิฟาย — น้ำมัน [สำรองกมลชนก]</t>
        </is>
      </c>
      <c r="D286" s="6" t="inlineStr">
        <is>
          <t>ต้นทุนขาย-วัสดุก่อสร้าง</t>
        </is>
      </c>
      <c r="E286" s="6" t="inlineStr">
        <is>
          <t>ALL</t>
        </is>
      </c>
      <c r="F286" s="10" t="n">
        <v>0</v>
      </c>
      <c r="G286" s="10" t="n">
        <v>3200</v>
      </c>
      <c r="H286" s="10" t="n">
        <v>1784355.150000003</v>
      </c>
      <c r="I286" s="6" t="inlineStr">
        <is>
          <t>โอน</t>
        </is>
      </c>
    </row>
    <row r="287">
      <c r="A287" s="6" t="inlineStr">
        <is>
          <t>2569-03-16</t>
        </is>
      </c>
      <c r="B287" s="6" t="inlineStr">
        <is>
          <t>V-256903-0022</t>
        </is>
      </c>
      <c r="C287" s="6" t="inlineStr">
        <is>
          <t>ศรีพโลค้าวัสดุ สำนักงานใหญ่ — ข้อตรงบาง 2 นิ้ว 10 ตัว [สำรองกมลชนก]</t>
        </is>
      </c>
      <c r="D287" s="6" t="inlineStr">
        <is>
          <t>ต้นทุนขาย-วัสดุก่อสร้าง</t>
        </is>
      </c>
      <c r="E287" s="6" t="inlineStr">
        <is>
          <t>ALL</t>
        </is>
      </c>
      <c r="F287" s="10" t="n">
        <v>0</v>
      </c>
      <c r="G287" s="10" t="n">
        <v>130</v>
      </c>
      <c r="H287" s="10" t="n">
        <v>1784225.150000003</v>
      </c>
      <c r="I287" s="6" t="inlineStr">
        <is>
          <t>โอน</t>
        </is>
      </c>
    </row>
    <row r="288">
      <c r="A288" s="6" t="inlineStr">
        <is>
          <t>2569-03-16</t>
        </is>
      </c>
      <c r="B288" s="6" t="inlineStr">
        <is>
          <t>V-256903-0023</t>
        </is>
      </c>
      <c r="C288" s="6" t="inlineStr">
        <is>
          <t>E-filing — ภาษี [พงศกรจ่าย]</t>
        </is>
      </c>
      <c r="D288" s="6" t="inlineStr">
        <is>
          <t>ค่าใช้จ่ายสำนักงาน</t>
        </is>
      </c>
      <c r="E288" s="6" t="inlineStr">
        <is>
          <t>ALL</t>
        </is>
      </c>
      <c r="F288" s="10" t="n">
        <v>0</v>
      </c>
      <c r="G288" s="10" t="n">
        <v>701.96</v>
      </c>
      <c r="H288" s="10" t="n">
        <v>1783523.190000003</v>
      </c>
      <c r="I288" s="6" t="inlineStr">
        <is>
          <t>โอน</t>
        </is>
      </c>
    </row>
    <row r="289">
      <c r="A289" s="6" t="inlineStr">
        <is>
          <t>2569-03-16</t>
        </is>
      </c>
      <c r="B289" s="6" t="inlineStr">
        <is>
          <t>V-256903-0024</t>
        </is>
      </c>
      <c r="C289" s="6" t="inlineStr">
        <is>
          <t>ศรีพโลค้าวัสดุ สำนักงานใหญ่ — ข้องอ30 ตัว กาว 500 กรัม [สำรองกมลชนก]</t>
        </is>
      </c>
      <c r="D289" s="6" t="inlineStr">
        <is>
          <t>ต้นทุนขาย-วัสดุก่อสร้าง</t>
        </is>
      </c>
      <c r="E289" s="6" t="inlineStr">
        <is>
          <t>ALL</t>
        </is>
      </c>
      <c r="F289" s="10" t="n">
        <v>0</v>
      </c>
      <c r="G289" s="10" t="n">
        <v>1310</v>
      </c>
      <c r="H289" s="10" t="n">
        <v>1782213.190000003</v>
      </c>
      <c r="I289" s="6" t="inlineStr">
        <is>
          <t>โอน</t>
        </is>
      </c>
    </row>
    <row r="290">
      <c r="A290" s="6" t="inlineStr">
        <is>
          <t>2569-03-17</t>
        </is>
      </c>
      <c r="B290" s="6" t="inlineStr">
        <is>
          <t>V-256903-0025</t>
        </is>
      </c>
      <c r="C290" s="6" t="inlineStr">
        <is>
          <t>ศรีพโลค้าวัสดุ สำนักงานใหญ่ — เซี่ยมเทา [สำรองกมลชนก]</t>
        </is>
      </c>
      <c r="D290" s="6" t="inlineStr">
        <is>
          <t>ต้นทุนขาย-วัสดุก่อสร้าง</t>
        </is>
      </c>
      <c r="E290" s="6" t="inlineStr">
        <is>
          <t>ALL</t>
        </is>
      </c>
      <c r="F290" s="10" t="n">
        <v>0</v>
      </c>
      <c r="G290" s="10" t="n">
        <v>4500</v>
      </c>
      <c r="H290" s="10" t="n">
        <v>1777713.190000003</v>
      </c>
      <c r="I290" s="6" t="inlineStr">
        <is>
          <t>โอน</t>
        </is>
      </c>
    </row>
    <row r="291">
      <c r="A291" s="6" t="inlineStr">
        <is>
          <t>2569-03-17</t>
        </is>
      </c>
      <c r="B291" s="6" t="inlineStr">
        <is>
          <t>V-256903-0026</t>
        </is>
      </c>
      <c r="C291" s="6" t="inlineStr">
        <is>
          <t>นาย รชานนท์ ด้วงคงสุก — ค่าสอบบัญชี [สำรองกมลชนก ไม่มีบิล]</t>
        </is>
      </c>
      <c r="D291" s="6" t="inlineStr">
        <is>
          <t>ค่าใช้จ่ายสำนักงาน</t>
        </is>
      </c>
      <c r="E291" s="6" t="inlineStr">
        <is>
          <t>ALL</t>
        </is>
      </c>
      <c r="F291" s="10" t="n">
        <v>0</v>
      </c>
      <c r="G291" s="10" t="n">
        <v>15000</v>
      </c>
      <c r="H291" s="10" t="n">
        <v>1762713.190000003</v>
      </c>
      <c r="I291" s="6" t="inlineStr">
        <is>
          <t>โอน</t>
        </is>
      </c>
    </row>
    <row r="292">
      <c r="A292" s="6" t="inlineStr">
        <is>
          <t>2569-03-17</t>
        </is>
      </c>
      <c r="B292" s="6" t="inlineStr">
        <is>
          <t>V-256903-0027</t>
        </is>
      </c>
      <c r="C292" s="6" t="inlineStr">
        <is>
          <t>UOB Credit — ค่าบัตรเครดิตบริษัท [พงศกรจ่าย]</t>
        </is>
      </c>
      <c r="D292" s="6" t="inlineStr">
        <is>
          <t>ค่าใช้จ่ายสำนักงาน</t>
        </is>
      </c>
      <c r="E292" s="6" t="inlineStr">
        <is>
          <t>ALL</t>
        </is>
      </c>
      <c r="F292" s="10" t="n">
        <v>0</v>
      </c>
      <c r="G292" s="10" t="n">
        <v>76193.25</v>
      </c>
      <c r="H292" s="10" t="n">
        <v>1686519.940000003</v>
      </c>
      <c r="I292" s="6" t="inlineStr">
        <is>
          <t>โอน</t>
        </is>
      </c>
    </row>
    <row r="293">
      <c r="A293" s="6" t="inlineStr">
        <is>
          <t>2569-03-17</t>
        </is>
      </c>
      <c r="B293" s="6" t="inlineStr">
        <is>
          <t>V-256903-0028</t>
        </is>
      </c>
      <c r="C293" s="6" t="inlineStr">
        <is>
          <t>พงศกร ดีแสน (ร้านกาแฟ) — ค่าน้ำบริการลูกค้า [พงศกรจ่าย]</t>
        </is>
      </c>
      <c r="D293" s="6" t="inlineStr">
        <is>
          <t>ค่าใช้จ่ายสำนักงาน</t>
        </is>
      </c>
      <c r="E293" s="6" t="inlineStr">
        <is>
          <t>ALL</t>
        </is>
      </c>
      <c r="F293" s="10" t="n">
        <v>0</v>
      </c>
      <c r="G293" s="10" t="n">
        <v>9627</v>
      </c>
      <c r="H293" s="10" t="n">
        <v>1676892.940000003</v>
      </c>
      <c r="I293" s="6" t="inlineStr">
        <is>
          <t>โอน</t>
        </is>
      </c>
    </row>
    <row r="294">
      <c r="A294" s="6" t="inlineStr">
        <is>
          <t>2569-03-18</t>
        </is>
      </c>
      <c r="B294" s="6" t="inlineStr">
        <is>
          <t>V-256903-0029</t>
        </is>
      </c>
      <c r="C294" s="6" t="inlineStr">
        <is>
          <t>E-filing — ภาษี [พงศกรจ่าย]</t>
        </is>
      </c>
      <c r="D294" s="6" t="inlineStr">
        <is>
          <t>ค่าใช้จ่ายสำนักงาน</t>
        </is>
      </c>
      <c r="E294" s="6" t="inlineStr">
        <is>
          <t>ALL</t>
        </is>
      </c>
      <c r="F294" s="10" t="n">
        <v>0</v>
      </c>
      <c r="G294" s="10" t="n">
        <v>151904.03</v>
      </c>
      <c r="H294" s="10" t="n">
        <v>1524988.910000003</v>
      </c>
      <c r="I294" s="6" t="inlineStr">
        <is>
          <t>โอน</t>
        </is>
      </c>
    </row>
    <row r="295">
      <c r="A295" s="6" t="inlineStr">
        <is>
          <t>2569-03-18</t>
        </is>
      </c>
      <c r="B295" s="6" t="inlineStr">
        <is>
          <t>V-256903-0030</t>
        </is>
      </c>
      <c r="C295" s="6" t="inlineStr">
        <is>
          <t>บริษัท วีแทรค ชลบุรี — อุปกรณ์ซ่อมรกแบคโฮ [มีแค่บิลใบเสร็จ]</t>
        </is>
      </c>
      <c r="D295" s="6" t="inlineStr">
        <is>
          <t>ต้นทุนขาย-วัสดุก่อสร้าง</t>
        </is>
      </c>
      <c r="E295" s="6" t="inlineStr">
        <is>
          <t>ALL</t>
        </is>
      </c>
      <c r="F295" s="10" t="n">
        <v>0</v>
      </c>
      <c r="G295" s="10" t="n">
        <v>203.3</v>
      </c>
      <c r="H295" s="10" t="n">
        <v>1524785.610000003</v>
      </c>
      <c r="I295" s="6" t="inlineStr"/>
    </row>
    <row r="296">
      <c r="A296" s="6" t="inlineStr">
        <is>
          <t>2569-03-20</t>
        </is>
      </c>
      <c r="B296" s="6" t="inlineStr">
        <is>
          <t>V-256903-0031</t>
        </is>
      </c>
      <c r="C296" s="6" t="inlineStr">
        <is>
          <t>ช้อปปี้ — โบว์สีแดง [สำรองกมลชนก]</t>
        </is>
      </c>
      <c r="D296" s="6" t="inlineStr">
        <is>
          <t>ค่าใช้จ่ายสำนักงาน</t>
        </is>
      </c>
      <c r="E296" s="6" t="inlineStr">
        <is>
          <t>ALL</t>
        </is>
      </c>
      <c r="F296" s="10" t="n">
        <v>0</v>
      </c>
      <c r="G296" s="10" t="n">
        <v>399</v>
      </c>
      <c r="H296" s="10" t="n">
        <v>1524386.610000003</v>
      </c>
      <c r="I296" s="6" t="inlineStr">
        <is>
          <t>โอน</t>
        </is>
      </c>
    </row>
    <row r="297">
      <c r="A297" s="6" t="inlineStr">
        <is>
          <t>2569-03-20</t>
        </is>
      </c>
      <c r="B297" s="6" t="inlineStr">
        <is>
          <t>V-256903-0032</t>
        </is>
      </c>
      <c r="C297" s="6" t="inlineStr">
        <is>
          <t>HOME PRO — กระเบื้องโซนา เบจ 60*60 [สำรองกมลชนก]</t>
        </is>
      </c>
      <c r="D297" s="6" t="inlineStr">
        <is>
          <t>ต้นทุนขาย-วัสดุก่อสร้าง</t>
        </is>
      </c>
      <c r="E297" s="6" t="inlineStr">
        <is>
          <t>ALL</t>
        </is>
      </c>
      <c r="F297" s="10" t="n">
        <v>0</v>
      </c>
      <c r="G297" s="10" t="n">
        <v>4644.36</v>
      </c>
      <c r="H297" s="10" t="n">
        <v>1519742.250000003</v>
      </c>
      <c r="I297" s="6" t="inlineStr">
        <is>
          <t>โอน</t>
        </is>
      </c>
    </row>
    <row r="298">
      <c r="A298" s="6" t="inlineStr">
        <is>
          <t>2569-03-20</t>
        </is>
      </c>
      <c r="B298" s="6" t="inlineStr">
        <is>
          <t>V-256903-0033</t>
        </is>
      </c>
      <c r="C298" s="6" t="inlineStr">
        <is>
          <t>ที่ดิน — ใต้โต๊ะ [สำรองกมลชนก]</t>
        </is>
      </c>
      <c r="D298" s="6" t="inlineStr">
        <is>
          <t>ค่าใช้จ่ายอื่น</t>
        </is>
      </c>
      <c r="E298" s="6" t="inlineStr">
        <is>
          <t>ALL</t>
        </is>
      </c>
      <c r="F298" s="10" t="n">
        <v>0</v>
      </c>
      <c r="G298" s="10" t="n">
        <v>3000</v>
      </c>
      <c r="H298" s="10" t="n">
        <v>1516742.250000003</v>
      </c>
      <c r="I298" s="6" t="inlineStr">
        <is>
          <t>เงินสด</t>
        </is>
      </c>
    </row>
    <row r="299">
      <c r="A299" s="6" t="inlineStr">
        <is>
          <t>2569-03-20</t>
        </is>
      </c>
      <c r="B299" s="6" t="inlineStr">
        <is>
          <t>V-256903-0034</t>
        </is>
      </c>
      <c r="C299" s="6" t="inlineStr">
        <is>
          <t>นาย รชานนท์ ด้วงคงสุก — ค่าทำบัญชี กุมภาพันธ์ 2569 [สำรองกมลชนก]</t>
        </is>
      </c>
      <c r="D299" s="6" t="inlineStr">
        <is>
          <t>ค่าใช้จ่ายสำนักงาน</t>
        </is>
      </c>
      <c r="E299" s="6" t="inlineStr">
        <is>
          <t>ALL</t>
        </is>
      </c>
      <c r="F299" s="10" t="n">
        <v>0</v>
      </c>
      <c r="G299" s="10" t="n">
        <v>4000</v>
      </c>
      <c r="H299" s="10" t="n">
        <v>1512742.250000003</v>
      </c>
      <c r="I299" s="6" t="inlineStr">
        <is>
          <t>โอน</t>
        </is>
      </c>
    </row>
    <row r="300">
      <c r="A300" s="6" t="inlineStr">
        <is>
          <t>2569-03-20</t>
        </is>
      </c>
      <c r="B300" s="6" t="inlineStr">
        <is>
          <t>V-256903-0035</t>
        </is>
      </c>
      <c r="C300" s="6" t="inlineStr">
        <is>
          <t>นาย ณัฐวุฒิ ต้นกิม — ค่าน้ำ 3 เที่ยว [สำรองกมลชนก]</t>
        </is>
      </c>
      <c r="D300" s="6" t="inlineStr">
        <is>
          <t>ค่าใช้จ่ายอื่น</t>
        </is>
      </c>
      <c r="E300" s="6" t="inlineStr">
        <is>
          <t>ALL</t>
        </is>
      </c>
      <c r="F300" s="10" t="n">
        <v>0</v>
      </c>
      <c r="G300" s="10" t="n">
        <v>3000</v>
      </c>
      <c r="H300" s="10" t="n">
        <v>1509742.250000003</v>
      </c>
      <c r="I300" s="6" t="inlineStr">
        <is>
          <t>โอน</t>
        </is>
      </c>
    </row>
    <row r="301">
      <c r="A301" s="6" t="inlineStr">
        <is>
          <t>2569-03-20</t>
        </is>
      </c>
      <c r="B301" s="6" t="inlineStr">
        <is>
          <t>V-256903-0036</t>
        </is>
      </c>
      <c r="C301" s="6" t="inlineStr">
        <is>
          <t>นาย วิเศษศักดิ์ เวียงโสม — ค่าติดตั้งงานหลังคา [สำรองกมลชนก หัก ณ ที่จ่าย]</t>
        </is>
      </c>
      <c r="D301" s="6" t="inlineStr">
        <is>
          <t>ต้นทุนขาย-วัสดุก่อสร้าง</t>
        </is>
      </c>
      <c r="E301" s="6" t="inlineStr">
        <is>
          <t>ALL</t>
        </is>
      </c>
      <c r="F301" s="10" t="n">
        <v>0</v>
      </c>
      <c r="G301" s="10" t="n">
        <v>12896.34</v>
      </c>
      <c r="H301" s="10" t="n">
        <v>1496845.910000003</v>
      </c>
      <c r="I301" s="6" t="inlineStr">
        <is>
          <t>โอน</t>
        </is>
      </c>
    </row>
    <row r="302">
      <c r="A302" s="6" t="inlineStr">
        <is>
          <t>2569-03-20</t>
        </is>
      </c>
      <c r="B302" s="6" t="inlineStr">
        <is>
          <t>V-256903-0037</t>
        </is>
      </c>
      <c r="C302" s="6" t="inlineStr">
        <is>
          <t>นาย วิเศษศักดิ์ เวียงโสม — ค่าติดตั้งงานหลังคา [สำรองกมลชนก หัก ณ ที่จ่าย]</t>
        </is>
      </c>
      <c r="D302" s="6" t="inlineStr">
        <is>
          <t>ต้นทุนขาย-วัสดุก่อสร้าง</t>
        </is>
      </c>
      <c r="E302" s="6" t="inlineStr">
        <is>
          <t>ALL</t>
        </is>
      </c>
      <c r="F302" s="10" t="n">
        <v>0</v>
      </c>
      <c r="G302" s="10" t="n">
        <v>3974.86</v>
      </c>
      <c r="H302" s="10" t="n">
        <v>1492871.050000003</v>
      </c>
      <c r="I302" s="6" t="inlineStr">
        <is>
          <t>โอน</t>
        </is>
      </c>
    </row>
    <row r="303">
      <c r="A303" s="6" t="inlineStr">
        <is>
          <t>2569-03-20</t>
        </is>
      </c>
      <c r="B303" s="6" t="inlineStr">
        <is>
          <t>V-256903-0038</t>
        </is>
      </c>
      <c r="C303" s="6" t="inlineStr">
        <is>
          <t>MR.BORA — เบิกล่วงหน้าช่างลา [สำรองกมลชนก]</t>
        </is>
      </c>
      <c r="D303" s="6" t="inlineStr">
        <is>
          <t>ค่าใช้จ่ายอื่น</t>
        </is>
      </c>
      <c r="E303" s="6" t="inlineStr">
        <is>
          <t>ALL</t>
        </is>
      </c>
      <c r="F303" s="10" t="n">
        <v>0</v>
      </c>
      <c r="G303" s="10" t="n">
        <v>5000</v>
      </c>
      <c r="H303" s="10" t="n">
        <v>1487871.050000003</v>
      </c>
      <c r="I303" s="6" t="inlineStr">
        <is>
          <t>โอน</t>
        </is>
      </c>
    </row>
    <row r="304">
      <c r="A304" s="6" t="inlineStr">
        <is>
          <t>2569-03-20</t>
        </is>
      </c>
      <c r="B304" s="6" t="inlineStr">
        <is>
          <t>V-256903-0039</t>
        </is>
      </c>
      <c r="C304" s="6" t="inlineStr">
        <is>
          <t>แฟมิลี่เครน — เครน 1 วัน [สำรองกมลชนก หัก ณ ที่จ่าย]</t>
        </is>
      </c>
      <c r="D304" s="6" t="inlineStr">
        <is>
          <t>ต้นทุนขาย-วัสดุก่อสร้าง</t>
        </is>
      </c>
      <c r="E304" s="6" t="inlineStr">
        <is>
          <t>ALL</t>
        </is>
      </c>
      <c r="F304" s="10" t="n">
        <v>0</v>
      </c>
      <c r="G304" s="10" t="n">
        <v>6760</v>
      </c>
      <c r="H304" s="10" t="n">
        <v>1481111.050000003</v>
      </c>
      <c r="I304" s="6" t="inlineStr">
        <is>
          <t>โอน</t>
        </is>
      </c>
    </row>
    <row r="305">
      <c r="A305" s="6" t="inlineStr">
        <is>
          <t>2569-03-20</t>
        </is>
      </c>
      <c r="B305" s="6" t="inlineStr">
        <is>
          <t>V-256903-0040</t>
        </is>
      </c>
      <c r="C305" s="6" t="inlineStr">
        <is>
          <t>ค่าประเมินSCB — ค่าประเมินSCB [พงศกรจ่าย]</t>
        </is>
      </c>
      <c r="D305" s="6" t="inlineStr">
        <is>
          <t>ค่าใช้จ่ายอื่น</t>
        </is>
      </c>
      <c r="E305" s="6" t="inlineStr">
        <is>
          <t>ALL</t>
        </is>
      </c>
      <c r="F305" s="10" t="n">
        <v>0</v>
      </c>
      <c r="G305" s="10" t="n">
        <v>1070</v>
      </c>
      <c r="H305" s="10" t="n">
        <v>1480041.050000003</v>
      </c>
      <c r="I305" s="6" t="inlineStr">
        <is>
          <t>โอน</t>
        </is>
      </c>
    </row>
    <row r="306">
      <c r="A306" s="6" t="inlineStr">
        <is>
          <t>2569-03-20</t>
        </is>
      </c>
      <c r="B306" s="6" t="inlineStr">
        <is>
          <t>V-256903-0041</t>
        </is>
      </c>
      <c r="C306" s="6" t="inlineStr">
        <is>
          <t>นางสาว จิรพร จันทร์แก้ว — ค่านายหน้าขายบ้าน [หัก ณ ที่จ่าย]</t>
        </is>
      </c>
      <c r="D306" s="6" t="inlineStr">
        <is>
          <t>ค่าโฆษณา-การตลาด</t>
        </is>
      </c>
      <c r="E306" s="6" t="inlineStr">
        <is>
          <t>ALL</t>
        </is>
      </c>
      <c r="F306" s="10" t="n">
        <v>0</v>
      </c>
      <c r="G306" s="10" t="n">
        <v>364235</v>
      </c>
      <c r="H306" s="10" t="n">
        <v>1115806.050000003</v>
      </c>
      <c r="I306" s="6" t="inlineStr">
        <is>
          <t>โอน</t>
        </is>
      </c>
    </row>
    <row r="307">
      <c r="A307" s="6" t="inlineStr">
        <is>
          <t>2569-03-20</t>
        </is>
      </c>
      <c r="B307" s="6" t="inlineStr">
        <is>
          <t>V-256903-0042</t>
        </is>
      </c>
      <c r="C307" s="6" t="inlineStr">
        <is>
          <t>สำนักงานที่ดินชลบุรี — ค่าโอน7007 [พงศกรจ่าย]</t>
        </is>
      </c>
      <c r="D307" s="6" t="inlineStr">
        <is>
          <t>ค่าใช้จ่ายอื่น</t>
        </is>
      </c>
      <c r="E307" s="6" t="inlineStr">
        <is>
          <t>ALL</t>
        </is>
      </c>
      <c r="F307" s="10" t="n">
        <v>0</v>
      </c>
      <c r="G307" s="10" t="n">
        <v>205122</v>
      </c>
      <c r="H307" s="10" t="n">
        <v>910684.0500000026</v>
      </c>
      <c r="I307" s="6" t="inlineStr">
        <is>
          <t>โอน</t>
        </is>
      </c>
    </row>
    <row r="308">
      <c r="A308" s="6" t="inlineStr">
        <is>
          <t>2569-03-20</t>
        </is>
      </c>
      <c r="B308" s="6" t="inlineStr">
        <is>
          <t>V-256903-0043</t>
        </is>
      </c>
      <c r="C308" s="6" t="inlineStr">
        <is>
          <t>สำนักงานที่ดินชลบุรี — ค่าโอน7006 [พงศกรจ่าย]</t>
        </is>
      </c>
      <c r="D308" s="6" t="inlineStr">
        <is>
          <t>ค่าใช้จ่ายอื่น</t>
        </is>
      </c>
      <c r="E308" s="6" t="inlineStr">
        <is>
          <t>ALL</t>
        </is>
      </c>
      <c r="F308" s="10" t="n">
        <v>0</v>
      </c>
      <c r="G308" s="10" t="n">
        <v>205077</v>
      </c>
      <c r="H308" s="10" t="n">
        <v>705607.0500000026</v>
      </c>
      <c r="I308" s="6" t="inlineStr">
        <is>
          <t>โอน</t>
        </is>
      </c>
    </row>
    <row r="309">
      <c r="A309" s="6" t="inlineStr">
        <is>
          <t>2569-03-20</t>
        </is>
      </c>
      <c r="B309" s="6" t="inlineStr">
        <is>
          <t>V-256903-0044</t>
        </is>
      </c>
      <c r="C309" s="6" t="inlineStr">
        <is>
          <t>พี.เจ ฮาร์ดแวร์ (2008) [มีแค่หน้าเช็ค]</t>
        </is>
      </c>
      <c r="D309" s="6" t="inlineStr"/>
      <c r="E309" s="6" t="inlineStr">
        <is>
          <t>ALL</t>
        </is>
      </c>
      <c r="F309" s="10" t="n">
        <v>0</v>
      </c>
      <c r="G309" s="10" t="n">
        <v>354295</v>
      </c>
      <c r="H309" s="10" t="n">
        <v>351312.0500000026</v>
      </c>
      <c r="I309" s="6" t="inlineStr">
        <is>
          <t>เช็ค</t>
        </is>
      </c>
    </row>
    <row r="310">
      <c r="A310" s="6" t="inlineStr">
        <is>
          <t>2569-03-21</t>
        </is>
      </c>
      <c r="B310" s="6" t="inlineStr">
        <is>
          <t>V-256903-0045</t>
        </is>
      </c>
      <c r="C310" s="6" t="inlineStr">
        <is>
          <t>ศรีพโลค้าวัสดุ สำนักงานใหญ่ — ข้อต่อกันซึม [สำรองกมลชนก]</t>
        </is>
      </c>
      <c r="D310" s="6" t="inlineStr">
        <is>
          <t>ต้นทุนขาย-วัสดุก่อสร้าง</t>
        </is>
      </c>
      <c r="E310" s="6" t="inlineStr">
        <is>
          <t>ALL</t>
        </is>
      </c>
      <c r="F310" s="10" t="n">
        <v>0</v>
      </c>
      <c r="G310" s="10" t="n">
        <v>720</v>
      </c>
      <c r="H310" s="10" t="n">
        <v>350592.0500000026</v>
      </c>
      <c r="I310" s="6" t="inlineStr">
        <is>
          <t>โอน</t>
        </is>
      </c>
    </row>
    <row r="311">
      <c r="A311" s="6" t="inlineStr">
        <is>
          <t>2569-03-21</t>
        </is>
      </c>
      <c r="B311" s="6" t="inlineStr">
        <is>
          <t>V-256903-0046</t>
        </is>
      </c>
      <c r="C311" s="6" t="inlineStr">
        <is>
          <t>ศรีพโลค้าวัสดุ สำนักงานใหญ่ — กาวตะปู พุก [สำรองกมลชนก]</t>
        </is>
      </c>
      <c r="D311" s="6" t="inlineStr">
        <is>
          <t>ต้นทุนขาย-วัสดุก่อสร้าง</t>
        </is>
      </c>
      <c r="E311" s="6" t="inlineStr">
        <is>
          <t>ALL</t>
        </is>
      </c>
      <c r="F311" s="10" t="n">
        <v>0</v>
      </c>
      <c r="G311" s="10" t="n">
        <v>2320</v>
      </c>
      <c r="H311" s="10" t="n">
        <v>348272.0500000026</v>
      </c>
      <c r="I311" s="6" t="inlineStr">
        <is>
          <t>โอน</t>
        </is>
      </c>
    </row>
    <row r="312">
      <c r="A312" s="6" t="inlineStr">
        <is>
          <t>2569-03-22</t>
        </is>
      </c>
      <c r="B312" s="6" t="inlineStr">
        <is>
          <t>V-256903-0047</t>
        </is>
      </c>
      <c r="C312" s="6" t="inlineStr">
        <is>
          <t>ค่าประเมินSCB — ค่าประเมินSCB [พงศกรจ่าย]</t>
        </is>
      </c>
      <c r="D312" s="6" t="inlineStr">
        <is>
          <t>ค่าใช้จ่ายอื่น</t>
        </is>
      </c>
      <c r="E312" s="6" t="inlineStr">
        <is>
          <t>ALL</t>
        </is>
      </c>
      <c r="F312" s="10" t="n">
        <v>0</v>
      </c>
      <c r="G312" s="10" t="n">
        <v>10000</v>
      </c>
      <c r="H312" s="10" t="n">
        <v>338272.0500000026</v>
      </c>
      <c r="I312" s="6" t="inlineStr">
        <is>
          <t>โอน</t>
        </is>
      </c>
    </row>
    <row r="313">
      <c r="A313" s="6" t="inlineStr">
        <is>
          <t>2569-03-23</t>
        </is>
      </c>
      <c r="B313" s="6" t="inlineStr">
        <is>
          <t>V-256903-0048</t>
        </is>
      </c>
      <c r="C313" s="6" t="inlineStr">
        <is>
          <t>คุณชุติเดช อายุเจริญ — ส่วนต่างกู้บ้าน [สลิปใน 20/3/2569]</t>
        </is>
      </c>
      <c r="D313" s="6" t="inlineStr">
        <is>
          <t>ค่าใช้จ่ายอื่น</t>
        </is>
      </c>
      <c r="E313" s="6" t="inlineStr">
        <is>
          <t>ALL</t>
        </is>
      </c>
      <c r="F313" s="10" t="n">
        <v>0</v>
      </c>
      <c r="G313" s="10" t="n">
        <v>827420</v>
      </c>
      <c r="H313" s="10" t="n">
        <v>-489147.9499999974</v>
      </c>
      <c r="I313" s="6" t="inlineStr">
        <is>
          <t>เงินสด</t>
        </is>
      </c>
    </row>
    <row r="314">
      <c r="A314" s="6" t="inlineStr">
        <is>
          <t>2569-03-23</t>
        </is>
      </c>
      <c r="B314" s="6" t="inlineStr">
        <is>
          <t>V-256903-0049</t>
        </is>
      </c>
      <c r="C314" s="6" t="inlineStr">
        <is>
          <t>คุณ ละมัยพันยา — ส่วนต่างกู้บ้าน [สลิปใน 20/3/2569]</t>
        </is>
      </c>
      <c r="D314" s="6" t="inlineStr">
        <is>
          <t>ค่าใช้จ่ายอื่น</t>
        </is>
      </c>
      <c r="E314" s="6" t="inlineStr">
        <is>
          <t>ALL</t>
        </is>
      </c>
      <c r="F314" s="10" t="n">
        <v>0</v>
      </c>
      <c r="G314" s="10" t="n">
        <v>644010</v>
      </c>
      <c r="H314" s="10" t="n">
        <v>-1133157.949999997</v>
      </c>
      <c r="I314" s="6" t="inlineStr">
        <is>
          <t>เงินสด</t>
        </is>
      </c>
    </row>
    <row r="315">
      <c r="A315" s="6" t="inlineStr">
        <is>
          <t>2569-03-23</t>
        </is>
      </c>
      <c r="B315" s="6" t="inlineStr">
        <is>
          <t>V-256903-0050</t>
        </is>
      </c>
      <c r="C315" s="6" t="inlineStr">
        <is>
          <t>บริษัท กังสดาล ค้าไม้ — เชอร่า</t>
        </is>
      </c>
      <c r="D315" s="6" t="inlineStr">
        <is>
          <t>ต้นทุนขาย-วัสดุก่อสร้าง</t>
        </is>
      </c>
      <c r="E315" s="6" t="inlineStr">
        <is>
          <t>ALL</t>
        </is>
      </c>
      <c r="F315" s="10" t="n">
        <v>0</v>
      </c>
      <c r="G315" s="10" t="n">
        <v>25252</v>
      </c>
      <c r="H315" s="10" t="n">
        <v>-1158409.949999997</v>
      </c>
      <c r="I315" s="6" t="inlineStr">
        <is>
          <t>โอน</t>
        </is>
      </c>
    </row>
    <row r="316">
      <c r="A316" s="6" t="inlineStr">
        <is>
          <t>2569-03-23</t>
        </is>
      </c>
      <c r="B316" s="6" t="inlineStr">
        <is>
          <t>V-256903-0051</t>
        </is>
      </c>
      <c r="C316" s="6" t="inlineStr">
        <is>
          <t>บจก.เบิร์ธมาร์ค — การตลาดยิงแอด [พงศกรจ่าย หัก ณ ที่จ่าย]</t>
        </is>
      </c>
      <c r="D316" s="6" t="inlineStr">
        <is>
          <t>ค่าโฆษณา-การตลาด</t>
        </is>
      </c>
      <c r="E316" s="6" t="inlineStr">
        <is>
          <t>ALL</t>
        </is>
      </c>
      <c r="F316" s="10" t="n">
        <v>0</v>
      </c>
      <c r="G316" s="10" t="n">
        <v>47840</v>
      </c>
      <c r="H316" s="10" t="n">
        <v>-1206249.949999997</v>
      </c>
      <c r="I316" s="6" t="inlineStr">
        <is>
          <t>โอน</t>
        </is>
      </c>
    </row>
    <row r="317">
      <c r="A317" s="6" t="inlineStr">
        <is>
          <t>2569-03-23</t>
        </is>
      </c>
      <c r="B317" s="6" t="inlineStr">
        <is>
          <t>V-256903-0052</t>
        </is>
      </c>
      <c r="C317" s="6" t="inlineStr">
        <is>
          <t>เอส เอส เซอร์วิส — ค่าบริการเช่า กุมภาพันธ์ 2569 [สำรองกมลชนก หัก ณ ที่จ่าย]</t>
        </is>
      </c>
      <c r="D317" s="6" t="inlineStr">
        <is>
          <t>ค่าใช้จ่ายสำนักงาน</t>
        </is>
      </c>
      <c r="E317" s="6" t="inlineStr">
        <is>
          <t>ALL</t>
        </is>
      </c>
      <c r="F317" s="10" t="n">
        <v>0</v>
      </c>
      <c r="G317" s="10" t="n">
        <v>3209.94</v>
      </c>
      <c r="H317" s="10" t="n">
        <v>-1209459.889999997</v>
      </c>
      <c r="I317" s="6" t="inlineStr">
        <is>
          <t>โอน</t>
        </is>
      </c>
    </row>
    <row r="318">
      <c r="A318" s="6" t="inlineStr">
        <is>
          <t>2569-03-23</t>
        </is>
      </c>
      <c r="B318" s="6" t="inlineStr">
        <is>
          <t>V-256903-0053</t>
        </is>
      </c>
      <c r="C318" s="6" t="inlineStr">
        <is>
          <t>บริษัท กังสดาล ค้าไม้ — รางน้ำตะเฆ่ [สำรองกมลชนก]</t>
        </is>
      </c>
      <c r="D318" s="6" t="inlineStr">
        <is>
          <t>ต้นทุนขาย-วัสดุก่อสร้าง</t>
        </is>
      </c>
      <c r="E318" s="6" t="inlineStr">
        <is>
          <t>ALL</t>
        </is>
      </c>
      <c r="F318" s="10" t="n">
        <v>0</v>
      </c>
      <c r="G318" s="10" t="n">
        <v>856</v>
      </c>
      <c r="H318" s="10" t="n">
        <v>-1210315.889999997</v>
      </c>
      <c r="I318" s="6" t="inlineStr">
        <is>
          <t>โอน</t>
        </is>
      </c>
    </row>
    <row r="319">
      <c r="A319" s="6" t="inlineStr">
        <is>
          <t>2569-03-24</t>
        </is>
      </c>
      <c r="B319" s="6" t="inlineStr">
        <is>
          <t>V-256903-0054</t>
        </is>
      </c>
      <c r="C319" s="6" t="inlineStr">
        <is>
          <t>ศรีพโลค้าวัสดุ สำนักงานใหญ่ — ใบตัด14นิ้ว [ทอน 29 บาท]</t>
        </is>
      </c>
      <c r="D319" s="6" t="inlineStr">
        <is>
          <t>ต้นทุนขาย-วัสดุก่อสร้าง</t>
        </is>
      </c>
      <c r="E319" s="6" t="inlineStr">
        <is>
          <t>ALL</t>
        </is>
      </c>
      <c r="F319" s="10" t="n">
        <v>0</v>
      </c>
      <c r="G319" s="10" t="n">
        <v>3500</v>
      </c>
      <c r="H319" s="10" t="n">
        <v>-1213815.889999997</v>
      </c>
      <c r="I319" s="6" t="inlineStr">
        <is>
          <t>โอน</t>
        </is>
      </c>
    </row>
    <row r="320">
      <c r="A320" s="6" t="inlineStr">
        <is>
          <t>2569-03-26</t>
        </is>
      </c>
      <c r="B320" s="6" t="inlineStr">
        <is>
          <t>V-256903-0055</t>
        </is>
      </c>
      <c r="C320" s="6" t="inlineStr">
        <is>
          <t>บ้านไม้ยูคา — ไม้ยูคาสร้างแคมป์ [พงศกรจ่าย]</t>
        </is>
      </c>
      <c r="D320" s="6" t="inlineStr">
        <is>
          <t>ต้นทุนขาย-วัสดุก่อสร้าง</t>
        </is>
      </c>
      <c r="E320" s="6" t="inlineStr">
        <is>
          <t>ALL</t>
        </is>
      </c>
      <c r="F320" s="10" t="n">
        <v>0</v>
      </c>
      <c r="G320" s="10" t="n">
        <v>54250</v>
      </c>
      <c r="H320" s="10" t="n">
        <v>-1268065.889999997</v>
      </c>
      <c r="I320" s="6" t="inlineStr">
        <is>
          <t>โอน</t>
        </is>
      </c>
    </row>
    <row r="321">
      <c r="A321" s="6" t="inlineStr">
        <is>
          <t>2569-03-27</t>
        </is>
      </c>
      <c r="B321" s="6" t="inlineStr">
        <is>
          <t>V-256903-0056</t>
        </is>
      </c>
      <c r="C321" s="6" t="inlineStr">
        <is>
          <t>ค่าเครน [สำรองกมลชนก หัก ณ ที่จ่าย]</t>
        </is>
      </c>
      <c r="D321" s="6" t="inlineStr"/>
      <c r="E321" s="6" t="inlineStr">
        <is>
          <t>ALL</t>
        </is>
      </c>
      <c r="F321" s="10" t="n">
        <v>0</v>
      </c>
      <c r="G321" s="10" t="n">
        <v>6760</v>
      </c>
      <c r="H321" s="10" t="n">
        <v>-1274825.889999997</v>
      </c>
      <c r="I321" s="6" t="inlineStr"/>
    </row>
    <row r="322">
      <c r="A322" s="6" t="inlineStr">
        <is>
          <t>2569-04-01</t>
        </is>
      </c>
      <c r="B322" s="6" t="inlineStr">
        <is>
          <t>V-256904-0001</t>
        </is>
      </c>
      <c r="C322" s="6" t="inlineStr">
        <is>
          <t>ห้างหุ้นส่วนจำกัด ชลบุรีสันติสุข ดีเซล — น้ำมัน [สำรองกมลชนก]</t>
        </is>
      </c>
      <c r="D322" s="6" t="inlineStr">
        <is>
          <t>ต้นทุนขาย-วัสดุก่อสร้าง</t>
        </is>
      </c>
      <c r="E322" s="6" t="inlineStr">
        <is>
          <t>ALL</t>
        </is>
      </c>
      <c r="F322" s="10" t="n">
        <v>0</v>
      </c>
      <c r="G322" s="10" t="n">
        <v>3500</v>
      </c>
      <c r="H322" s="10" t="n">
        <v>-1278325.889999997</v>
      </c>
      <c r="I322" s="6" t="inlineStr">
        <is>
          <t>โอน</t>
        </is>
      </c>
    </row>
    <row r="323">
      <c r="A323" s="6" t="inlineStr">
        <is>
          <t>2569-04-01</t>
        </is>
      </c>
      <c r="B323" s="6" t="inlineStr">
        <is>
          <t>V-256904-0002</t>
        </is>
      </c>
      <c r="C323" s="6" t="inlineStr">
        <is>
          <t>ศรีพโลค้าวัสดุ สำนักงานใหญ่ — อุปกรณ์ตัดหญ้า [สำรองกมลชนก]</t>
        </is>
      </c>
      <c r="D323" s="6" t="inlineStr">
        <is>
          <t>ต้นทุนขาย-วัสดุก่อสร้าง</t>
        </is>
      </c>
      <c r="E323" s="6" t="inlineStr">
        <is>
          <t>ALL</t>
        </is>
      </c>
      <c r="F323" s="10" t="n">
        <v>0</v>
      </c>
      <c r="G323" s="10" t="n">
        <v>590</v>
      </c>
      <c r="H323" s="10" t="n">
        <v>-1278915.889999997</v>
      </c>
      <c r="I323" s="6" t="inlineStr">
        <is>
          <t>โอน</t>
        </is>
      </c>
    </row>
    <row r="324">
      <c r="A324" s="6" t="inlineStr">
        <is>
          <t>2569-04-01</t>
        </is>
      </c>
      <c r="B324" s="6" t="inlineStr">
        <is>
          <t>V-256904-0003</t>
        </is>
      </c>
      <c r="C324" s="6" t="inlineStr">
        <is>
          <t>กังสดานค้าไม้ — ไม้อัดทำแคมป์ [พงศกรจ่าย]</t>
        </is>
      </c>
      <c r="D324" s="6" t="inlineStr">
        <is>
          <t>ต้นทุนขาย-วัสดุก่อสร้าง</t>
        </is>
      </c>
      <c r="E324" s="6" t="inlineStr">
        <is>
          <t>ALL</t>
        </is>
      </c>
      <c r="F324" s="10" t="n">
        <v>0</v>
      </c>
      <c r="G324" s="10" t="n">
        <v>10100</v>
      </c>
      <c r="H324" s="10" t="n">
        <v>-1289015.889999997</v>
      </c>
      <c r="I324" s="6" t="inlineStr">
        <is>
          <t>โอน</t>
        </is>
      </c>
    </row>
    <row r="325">
      <c r="A325" s="6" t="inlineStr">
        <is>
          <t>2569-04-01</t>
        </is>
      </c>
      <c r="B325" s="6" t="inlineStr">
        <is>
          <t>V-256904-0004</t>
        </is>
      </c>
      <c r="C325" s="6" t="inlineStr">
        <is>
          <t>คนงานตัดหญ้า — คนงานตัดหญ้า [สำรองกมลชนก]</t>
        </is>
      </c>
      <c r="D325" s="6" t="inlineStr">
        <is>
          <t>ต้นทุนขาย-วัสดุก่อสร้าง</t>
        </is>
      </c>
      <c r="E325" s="6" t="inlineStr">
        <is>
          <t>ALL</t>
        </is>
      </c>
      <c r="F325" s="10" t="n">
        <v>0</v>
      </c>
      <c r="G325" s="10" t="n">
        <v>1200</v>
      </c>
      <c r="H325" s="10" t="n">
        <v>-1290215.889999997</v>
      </c>
      <c r="I325" s="6" t="inlineStr">
        <is>
          <t>เงินสด</t>
        </is>
      </c>
    </row>
    <row r="326">
      <c r="A326" s="6" t="inlineStr">
        <is>
          <t>2569-04-02</t>
        </is>
      </c>
      <c r="B326" s="6" t="inlineStr">
        <is>
          <t>V-256904-0005</t>
        </is>
      </c>
      <c r="C326" s="6" t="inlineStr">
        <is>
          <t>นาย โกวิท ราษีทอง — ค้างจ่าย [สำรองกมลชนก หาสลิปไม่เจอ]</t>
        </is>
      </c>
      <c r="D326" s="6" t="inlineStr">
        <is>
          <t>ต้นทุนขาย-วัสดุก่อสร้าง</t>
        </is>
      </c>
      <c r="E326" s="6" t="inlineStr">
        <is>
          <t>ALL</t>
        </is>
      </c>
      <c r="F326" s="10" t="n">
        <v>0</v>
      </c>
      <c r="G326" s="10" t="n">
        <v>730</v>
      </c>
      <c r="H326" s="10" t="n">
        <v>-1290945.889999997</v>
      </c>
      <c r="I326" s="6" t="inlineStr">
        <is>
          <t>เงินสด</t>
        </is>
      </c>
    </row>
    <row r="327">
      <c r="A327" s="6" t="inlineStr">
        <is>
          <t>2569-04-02</t>
        </is>
      </c>
      <c r="B327" s="6" t="inlineStr">
        <is>
          <t>V-256904-0006</t>
        </is>
      </c>
      <c r="C327" s="6" t="inlineStr">
        <is>
          <t>แฟมิลี่เครน — ค่าบริการเครน 31/3/69 [สำรองกมลชนก หัก  ณ ที่จ่าย]</t>
        </is>
      </c>
      <c r="D327" s="6" t="inlineStr">
        <is>
          <t>ต้นทุนขาย-วัสดุก่อสร้าง</t>
        </is>
      </c>
      <c r="E327" s="6" t="inlineStr">
        <is>
          <t>ALL</t>
        </is>
      </c>
      <c r="F327" s="10" t="n">
        <v>0</v>
      </c>
      <c r="G327" s="10" t="n">
        <v>7280</v>
      </c>
      <c r="H327" s="10" t="n">
        <v>-1298225.889999997</v>
      </c>
      <c r="I327" s="6" t="inlineStr">
        <is>
          <t>โอน</t>
        </is>
      </c>
    </row>
    <row r="328">
      <c r="A328" s="6" t="inlineStr">
        <is>
          <t>2569-04-02</t>
        </is>
      </c>
      <c r="B328" s="6" t="inlineStr">
        <is>
          <t>V-256904-0007</t>
        </is>
      </c>
      <c r="C328" s="6" t="inlineStr">
        <is>
          <t>นายจิรวัฒน์ ลัคนาวัน — ส่วนต่าง</t>
        </is>
      </c>
      <c r="D328" s="6" t="inlineStr">
        <is>
          <t>ค่าใช้จ่ายสำนักงาน</t>
        </is>
      </c>
      <c r="E328" s="6" t="inlineStr">
        <is>
          <t>ALL</t>
        </is>
      </c>
      <c r="F328" s="10" t="n">
        <v>0</v>
      </c>
      <c r="G328" s="10" t="n">
        <v>650494</v>
      </c>
      <c r="H328" s="10" t="n">
        <v>-1948719.889999997</v>
      </c>
      <c r="I328" s="6" t="inlineStr">
        <is>
          <t>โอน</t>
        </is>
      </c>
    </row>
    <row r="329">
      <c r="A329" s="6" t="inlineStr">
        <is>
          <t>2569-04-02</t>
        </is>
      </c>
      <c r="B329" s="6" t="inlineStr">
        <is>
          <t>V-256904-0008</t>
        </is>
      </c>
      <c r="C329" s="6" t="inlineStr">
        <is>
          <t>นางสาว จิรพร จันทร์แก้ว — ค่านายหน้า [หัก 3% 3774]</t>
        </is>
      </c>
      <c r="D329" s="6" t="inlineStr">
        <is>
          <t>ค่าใช้จ่ายสำนักงาน</t>
        </is>
      </c>
      <c r="E329" s="6" t="inlineStr">
        <is>
          <t>ALL</t>
        </is>
      </c>
      <c r="F329" s="10" t="n">
        <v>0</v>
      </c>
      <c r="G329" s="10" t="n">
        <v>125800</v>
      </c>
      <c r="H329" s="10" t="n">
        <v>-2074519.889999997</v>
      </c>
      <c r="I329" s="6" t="inlineStr">
        <is>
          <t>โอน</t>
        </is>
      </c>
    </row>
    <row r="330">
      <c r="A330" s="6" t="inlineStr">
        <is>
          <t>2569-04-02</t>
        </is>
      </c>
      <c r="B330" s="6" t="inlineStr">
        <is>
          <t>V-256904-0009</t>
        </is>
      </c>
      <c r="C330" s="6" t="inlineStr">
        <is>
          <t>กังสดานค้าไม้ — ไม้แบบตะปูทำแคมป์ [สำรองกมลชนก]</t>
        </is>
      </c>
      <c r="D330" s="6" t="inlineStr">
        <is>
          <t>ต้นทุนขาย-วัสดุก่อสร้าง</t>
        </is>
      </c>
      <c r="E330" s="6" t="inlineStr">
        <is>
          <t>ALL</t>
        </is>
      </c>
      <c r="F330" s="10" t="n">
        <v>0</v>
      </c>
      <c r="G330" s="10" t="n">
        <v>8556</v>
      </c>
      <c r="H330" s="10" t="n">
        <v>-2083075.889999997</v>
      </c>
      <c r="I330" s="6" t="inlineStr">
        <is>
          <t>โอน</t>
        </is>
      </c>
    </row>
    <row r="331">
      <c r="A331" s="6" t="inlineStr">
        <is>
          <t>2569-04-02</t>
        </is>
      </c>
      <c r="B331" s="6" t="inlineStr">
        <is>
          <t>V-256904-0010</t>
        </is>
      </c>
      <c r="C331" s="6" t="inlineStr">
        <is>
          <t>การไฟฟ้าส่วนภูมิภาค — ค่าไฟสำนักงาน [สำรองกมลชนก]</t>
        </is>
      </c>
      <c r="D331" s="6" t="inlineStr">
        <is>
          <t>ค่าใช้จ่ายสำนักงาน</t>
        </is>
      </c>
      <c r="E331" s="6" t="inlineStr">
        <is>
          <t>ALL</t>
        </is>
      </c>
      <c r="F331" s="10" t="n">
        <v>0</v>
      </c>
      <c r="G331" s="10" t="n">
        <v>20205.7</v>
      </c>
      <c r="H331" s="10" t="n">
        <v>-2103281.589999998</v>
      </c>
      <c r="I331" s="6" t="inlineStr">
        <is>
          <t>โอน</t>
        </is>
      </c>
    </row>
    <row r="332">
      <c r="A332" s="6" t="inlineStr">
        <is>
          <t>2569-04-02</t>
        </is>
      </c>
      <c r="B332" s="6" t="inlineStr">
        <is>
          <t>V-256904-0011</t>
        </is>
      </c>
      <c r="C332" s="6" t="inlineStr">
        <is>
          <t>การไฟฟ้าส่วนภูมิภาค — ค่าไฟสำนักงาน [สำรองกมลชนก]</t>
        </is>
      </c>
      <c r="D332" s="6" t="inlineStr">
        <is>
          <t>ค่าใช้จ่ายสำนักงาน</t>
        </is>
      </c>
      <c r="E332" s="6" t="inlineStr">
        <is>
          <t>ALL</t>
        </is>
      </c>
      <c r="F332" s="10" t="n">
        <v>0</v>
      </c>
      <c r="G332" s="10" t="n">
        <v>12495.14</v>
      </c>
      <c r="H332" s="10" t="n">
        <v>-2115776.729999998</v>
      </c>
      <c r="I332" s="6" t="inlineStr">
        <is>
          <t>โอน</t>
        </is>
      </c>
    </row>
    <row r="333">
      <c r="A333" s="6" t="inlineStr">
        <is>
          <t>2569-04-02</t>
        </is>
      </c>
      <c r="B333" s="6" t="inlineStr">
        <is>
          <t>V-256904-0012</t>
        </is>
      </c>
      <c r="C333" s="6" t="inlineStr">
        <is>
          <t>การไฟฟ้าส่วนภูมิภาค — ค่าไฟสำนักงาน [สำรองกมลชนก]</t>
        </is>
      </c>
      <c r="D333" s="6" t="inlineStr">
        <is>
          <t>ค่าใช้จ่ายสำนักงาน</t>
        </is>
      </c>
      <c r="E333" s="6" t="inlineStr">
        <is>
          <t>ALL</t>
        </is>
      </c>
      <c r="F333" s="10" t="n">
        <v>0</v>
      </c>
      <c r="G333" s="10" t="n">
        <v>21775.16</v>
      </c>
      <c r="H333" s="10" t="n">
        <v>-2137551.889999998</v>
      </c>
      <c r="I333" s="6" t="inlineStr">
        <is>
          <t>โอน</t>
        </is>
      </c>
    </row>
    <row r="334">
      <c r="A334" s="6" t="inlineStr">
        <is>
          <t>2569-04-02</t>
        </is>
      </c>
      <c r="B334" s="6" t="inlineStr">
        <is>
          <t>V-256904-0013</t>
        </is>
      </c>
      <c r="C334" s="6" t="inlineStr">
        <is>
          <t>การไฟฟ้าส่วนภูมิภาค — ค่าไฟสำนักงาน [สำรองกมลชนก]</t>
        </is>
      </c>
      <c r="D334" s="6" t="inlineStr">
        <is>
          <t>ค่าใช้จ่ายสำนักงาน</t>
        </is>
      </c>
      <c r="E334" s="6" t="inlineStr">
        <is>
          <t>ALL</t>
        </is>
      </c>
      <c r="F334" s="10" t="n">
        <v>0</v>
      </c>
      <c r="G334" s="10" t="n">
        <v>1635.21</v>
      </c>
      <c r="H334" s="10" t="n">
        <v>-2139187.099999998</v>
      </c>
      <c r="I334" s="6" t="inlineStr">
        <is>
          <t>โอน</t>
        </is>
      </c>
    </row>
    <row r="335">
      <c r="A335" s="6" t="inlineStr">
        <is>
          <t>2569-04-02</t>
        </is>
      </c>
      <c r="B335" s="6" t="inlineStr">
        <is>
          <t>V-256904-0014</t>
        </is>
      </c>
      <c r="C335" s="6" t="inlineStr">
        <is>
          <t>การประปาส่วนภูมิภาค — น้ำประปาโครงการ [สำรองกมลชนก]</t>
        </is>
      </c>
      <c r="D335" s="6" t="inlineStr">
        <is>
          <t>ค่าใช้จ่ายสำนักงาน</t>
        </is>
      </c>
      <c r="E335" s="6" t="inlineStr">
        <is>
          <t>ALL</t>
        </is>
      </c>
      <c r="F335" s="10" t="n">
        <v>0</v>
      </c>
      <c r="G335" s="10" t="n">
        <v>12360.91</v>
      </c>
      <c r="H335" s="10" t="n">
        <v>-2151548.009999998</v>
      </c>
      <c r="I335" s="6" t="inlineStr">
        <is>
          <t>โอน</t>
        </is>
      </c>
    </row>
    <row r="336">
      <c r="A336" s="6" t="inlineStr">
        <is>
          <t>2569-04-02</t>
        </is>
      </c>
      <c r="B336" s="6" t="inlineStr">
        <is>
          <t>V-256904-0015</t>
        </is>
      </c>
      <c r="C336" s="6" t="inlineStr">
        <is>
          <t>การประปาส่วนภูมิภาค — น้ำประปาโครงการ [สำรองกมลชนก]</t>
        </is>
      </c>
      <c r="D336" s="6" t="inlineStr">
        <is>
          <t>ค่าใช้จ่ายสำนักงาน</t>
        </is>
      </c>
      <c r="E336" s="6" t="inlineStr">
        <is>
          <t>ALL</t>
        </is>
      </c>
      <c r="F336" s="10" t="n">
        <v>0</v>
      </c>
      <c r="G336" s="10" t="n">
        <v>192.6</v>
      </c>
      <c r="H336" s="10" t="n">
        <v>-2151740.609999998</v>
      </c>
      <c r="I336" s="6" t="inlineStr">
        <is>
          <t>โอน</t>
        </is>
      </c>
    </row>
    <row r="337">
      <c r="A337" s="6" t="inlineStr">
        <is>
          <t>2569-04-02</t>
        </is>
      </c>
      <c r="B337" s="6" t="inlineStr">
        <is>
          <t>V-256904-0016</t>
        </is>
      </c>
      <c r="C337" s="6" t="inlineStr">
        <is>
          <t>พลวัฒน์ หอมมาลา — เบิกค่าทำแคมป์ [สำรองกมลชนก]</t>
        </is>
      </c>
      <c r="D337" s="6" t="inlineStr">
        <is>
          <t>ต้นทุนขาย-วัสดุก่อสร้าง</t>
        </is>
      </c>
      <c r="E337" s="6" t="inlineStr">
        <is>
          <t>ALL</t>
        </is>
      </c>
      <c r="F337" s="10" t="n">
        <v>0</v>
      </c>
      <c r="G337" s="10" t="n">
        <v>3000</v>
      </c>
      <c r="H337" s="10" t="n">
        <v>-2154740.609999998</v>
      </c>
      <c r="I337" s="6" t="inlineStr">
        <is>
          <t>โอน</t>
        </is>
      </c>
    </row>
    <row r="338">
      <c r="A338" s="6" t="inlineStr">
        <is>
          <t>2569-04-03</t>
        </is>
      </c>
      <c r="B338" s="6" t="inlineStr">
        <is>
          <t>V-256904-0017</t>
        </is>
      </c>
      <c r="C338" s="6" t="inlineStr">
        <is>
          <t>กังสดานค้าไม้ — ไม้แบบ [สำรองกมลชนก]</t>
        </is>
      </c>
      <c r="D338" s="6" t="inlineStr">
        <is>
          <t>ต้นทุนขาย-วัสดุก่อสร้าง</t>
        </is>
      </c>
      <c r="E338" s="6" t="inlineStr">
        <is>
          <t>ALL</t>
        </is>
      </c>
      <c r="F338" s="10" t="n">
        <v>0</v>
      </c>
      <c r="G338" s="10" t="n">
        <v>8672</v>
      </c>
      <c r="H338" s="10" t="n">
        <v>-2163412.609999998</v>
      </c>
      <c r="I338" s="6" t="inlineStr">
        <is>
          <t>โอน</t>
        </is>
      </c>
    </row>
    <row r="339">
      <c r="A339" s="6" t="inlineStr">
        <is>
          <t>2569-04-03</t>
        </is>
      </c>
      <c r="B339" s="6" t="inlineStr">
        <is>
          <t>V-256904-0018</t>
        </is>
      </c>
      <c r="C339" s="6" t="inlineStr">
        <is>
          <t>ไทคอนติเนลทัน — นั่งร้าน [สำรองกมลชนก]</t>
        </is>
      </c>
      <c r="D339" s="6" t="inlineStr">
        <is>
          <t>ต้นทุนขาย-วัสดุก่อสร้าง</t>
        </is>
      </c>
      <c r="E339" s="6" t="inlineStr">
        <is>
          <t>ALL</t>
        </is>
      </c>
      <c r="F339" s="10" t="n">
        <v>0</v>
      </c>
      <c r="G339" s="10" t="n">
        <v>16600</v>
      </c>
      <c r="H339" s="10" t="n">
        <v>-2180012.609999998</v>
      </c>
      <c r="I339" s="6" t="inlineStr">
        <is>
          <t>โอน</t>
        </is>
      </c>
    </row>
    <row r="340">
      <c r="A340" s="6" t="inlineStr">
        <is>
          <t>2569-04-04</t>
        </is>
      </c>
      <c r="B340" s="6" t="inlineStr">
        <is>
          <t>V-256904-0019</t>
        </is>
      </c>
      <c r="C340" s="6" t="inlineStr">
        <is>
          <t>ศรีพโลค้าวัสดุ สำนักงานใหญ่ — ลวด ใบตัดเหล็ก ข้อต่อ [สำรองกมลชนก]</t>
        </is>
      </c>
      <c r="D340" s="6" t="inlineStr">
        <is>
          <t>ต้นทุนขาย-วัสดุก่อสร้าง</t>
        </is>
      </c>
      <c r="E340" s="6" t="inlineStr">
        <is>
          <t>ALL</t>
        </is>
      </c>
      <c r="F340" s="10" t="n">
        <v>0</v>
      </c>
      <c r="G340" s="10" t="n">
        <v>4825</v>
      </c>
      <c r="H340" s="10" t="n">
        <v>-2184837.609999998</v>
      </c>
      <c r="I340" s="6" t="inlineStr">
        <is>
          <t>โอน</t>
        </is>
      </c>
    </row>
    <row r="341">
      <c r="A341" s="6" t="inlineStr">
        <is>
          <t>2569-04-04</t>
        </is>
      </c>
      <c r="B341" s="6" t="inlineStr">
        <is>
          <t>V-256904-0020</t>
        </is>
      </c>
      <c r="C341" s="6" t="inlineStr">
        <is>
          <t>ศรีพโลค้าวัสดุ สำนักงานใหญ่ — เซี๊ยมเทา [สำรองกมลชนก]</t>
        </is>
      </c>
      <c r="D341" s="6" t="inlineStr">
        <is>
          <t>ต้นทุนขาย-วัสดุก่อสร้าง</t>
        </is>
      </c>
      <c r="E341" s="6" t="inlineStr">
        <is>
          <t>ALL</t>
        </is>
      </c>
      <c r="F341" s="10" t="n">
        <v>0</v>
      </c>
      <c r="G341" s="10" t="n">
        <v>4500</v>
      </c>
      <c r="H341" s="10" t="n">
        <v>-2189337.609999998</v>
      </c>
      <c r="I341" s="6" t="inlineStr">
        <is>
          <t>โอน</t>
        </is>
      </c>
    </row>
    <row r="342">
      <c r="A342" s="6" t="inlineStr">
        <is>
          <t>2569-04-04</t>
        </is>
      </c>
      <c r="B342" s="6" t="inlineStr">
        <is>
          <t>V-256904-0021</t>
        </is>
      </c>
      <c r="C342" s="6" t="inlineStr">
        <is>
          <t>บางจาก — น้ำมัน [สำรองกมลชนก]</t>
        </is>
      </c>
      <c r="D342" s="6" t="inlineStr">
        <is>
          <t>ต้นทุนขาย-วัสดุก่อสร้าง</t>
        </is>
      </c>
      <c r="E342" s="6" t="inlineStr">
        <is>
          <t>ALL</t>
        </is>
      </c>
      <c r="F342" s="10" t="n">
        <v>0</v>
      </c>
      <c r="G342" s="10" t="n">
        <v>3500</v>
      </c>
      <c r="H342" s="10" t="n">
        <v>-2192837.609999998</v>
      </c>
      <c r="I342" s="6" t="inlineStr">
        <is>
          <t>โอน</t>
        </is>
      </c>
    </row>
    <row r="343">
      <c r="A343" s="6" t="inlineStr">
        <is>
          <t>2569-04-05</t>
        </is>
      </c>
      <c r="B343" s="6" t="inlineStr">
        <is>
          <t>V-256904-0022</t>
        </is>
      </c>
      <c r="C343" s="6" t="inlineStr">
        <is>
          <t>ช้อปปี้ — คลิปหนีบกระดาษ [สำรองกมลชนก]</t>
        </is>
      </c>
      <c r="D343" s="6" t="inlineStr">
        <is>
          <t>ค่าใช้จ่ายสำนักงาน</t>
        </is>
      </c>
      <c r="E343" s="6" t="inlineStr">
        <is>
          <t>ALL</t>
        </is>
      </c>
      <c r="F343" s="10" t="n">
        <v>0</v>
      </c>
      <c r="G343" s="10" t="n">
        <v>589</v>
      </c>
      <c r="H343" s="10" t="n">
        <v>-2193426.609999998</v>
      </c>
      <c r="I343" s="6" t="inlineStr">
        <is>
          <t>โอน</t>
        </is>
      </c>
    </row>
    <row r="344">
      <c r="A344" s="6" t="inlineStr">
        <is>
          <t>2569-04-05</t>
        </is>
      </c>
      <c r="B344" s="6" t="inlineStr">
        <is>
          <t>V-256904-0023</t>
        </is>
      </c>
      <c r="C344" s="6" t="inlineStr">
        <is>
          <t>ขนส่ง — ค่าส่งเอกสารบัญชี [สำรองกมลชนก]</t>
        </is>
      </c>
      <c r="D344" s="6" t="inlineStr">
        <is>
          <t>ค่าใช้จ่ายสำนักงาน</t>
        </is>
      </c>
      <c r="E344" s="6" t="inlineStr">
        <is>
          <t>ALL</t>
        </is>
      </c>
      <c r="F344" s="10" t="n">
        <v>0</v>
      </c>
      <c r="G344" s="10" t="n">
        <v>100</v>
      </c>
      <c r="H344" s="10" t="n">
        <v>-2193526.609999998</v>
      </c>
      <c r="I344" s="6" t="inlineStr">
        <is>
          <t>โอน</t>
        </is>
      </c>
    </row>
    <row r="345">
      <c r="A345" s="6" t="inlineStr">
        <is>
          <t>2569-04-06</t>
        </is>
      </c>
      <c r="B345" s="6" t="inlineStr">
        <is>
          <t>V-256904-0024</t>
        </is>
      </c>
      <c r="C345" s="6" t="inlineStr">
        <is>
          <t>ศรีพโลค้าวัสดุ สำนักงานใหญ่ — ท่อกาว ใบตัดปูน [สำรองกมลชนก]</t>
        </is>
      </c>
      <c r="D345" s="6" t="inlineStr">
        <is>
          <t>ต้นทุนขาย-วัสดุก่อสร้าง</t>
        </is>
      </c>
      <c r="E345" s="6" t="inlineStr">
        <is>
          <t>ALL</t>
        </is>
      </c>
      <c r="F345" s="10" t="n">
        <v>0</v>
      </c>
      <c r="G345" s="10" t="n">
        <v>6890</v>
      </c>
      <c r="H345" s="10" t="n">
        <v>-2200416.609999998</v>
      </c>
      <c r="I345" s="6" t="inlineStr">
        <is>
          <t>โอน</t>
        </is>
      </c>
    </row>
    <row r="346">
      <c r="A346" s="6" t="inlineStr">
        <is>
          <t>2569-04-06</t>
        </is>
      </c>
      <c r="B346" s="6" t="inlineStr">
        <is>
          <t>V-256904-0025</t>
        </is>
      </c>
      <c r="C346" s="6" t="inlineStr">
        <is>
          <t>ศรีพโลค้าวัสดุ สำนักงานใหญ่ — ท่อข้องอ [สำรองกมลชนก]</t>
        </is>
      </c>
      <c r="D346" s="6" t="inlineStr">
        <is>
          <t>ต้นทุนขาย-วัสดุก่อสร้าง</t>
        </is>
      </c>
      <c r="E346" s="6" t="inlineStr">
        <is>
          <t>ALL</t>
        </is>
      </c>
      <c r="F346" s="10" t="n">
        <v>0</v>
      </c>
      <c r="G346" s="10" t="n">
        <v>3435</v>
      </c>
      <c r="H346" s="10" t="n">
        <v>-2203851.609999998</v>
      </c>
      <c r="I346" s="6" t="inlineStr">
        <is>
          <t>โอน</t>
        </is>
      </c>
    </row>
    <row r="347">
      <c r="A347" s="6" t="inlineStr">
        <is>
          <t>2569-04-07</t>
        </is>
      </c>
      <c r="B347" s="6" t="inlineStr">
        <is>
          <t>V-256904-0026</t>
        </is>
      </c>
      <c r="C347" s="6" t="inlineStr">
        <is>
          <t>แฟมิลี่เครน — เครน 1 วัน [สำรองกมลชนก หัก  ณ ที่จ่าย]</t>
        </is>
      </c>
      <c r="D347" s="6" t="inlineStr">
        <is>
          <t>ต้นทุนขาย-วัสดุก่อสร้าง</t>
        </is>
      </c>
      <c r="E347" s="6" t="inlineStr">
        <is>
          <t>ALL</t>
        </is>
      </c>
      <c r="F347" s="10" t="n">
        <v>0</v>
      </c>
      <c r="G347" s="10" t="n">
        <v>7280</v>
      </c>
      <c r="H347" s="10" t="n">
        <v>-2211131.609999998</v>
      </c>
      <c r="I347" s="6" t="inlineStr">
        <is>
          <t>โอน</t>
        </is>
      </c>
    </row>
    <row r="348">
      <c r="A348" s="6" t="inlineStr">
        <is>
          <t>2569-04-07</t>
        </is>
      </c>
      <c r="B348" s="6" t="inlineStr">
        <is>
          <t>V-256904-0027</t>
        </is>
      </c>
      <c r="C348" s="6" t="inlineStr">
        <is>
          <t>แฟมิลี่เครน OT — เครน 1 วัน [สำรองกมลชนก หัก  ณ ที่จ่าย]</t>
        </is>
      </c>
      <c r="D348" s="6" t="inlineStr">
        <is>
          <t>ต้นทุนขาย-วัสดุก่อสร้าง</t>
        </is>
      </c>
      <c r="E348" s="6" t="inlineStr">
        <is>
          <t>ALL</t>
        </is>
      </c>
      <c r="F348" s="10" t="n">
        <v>0</v>
      </c>
      <c r="G348" s="10" t="n">
        <v>1560</v>
      </c>
      <c r="H348" s="10" t="n">
        <v>-2212691.609999998</v>
      </c>
      <c r="I348" s="6" t="inlineStr">
        <is>
          <t>โอน</t>
        </is>
      </c>
    </row>
    <row r="349">
      <c r="A349" s="6" t="inlineStr">
        <is>
          <t>2569-04-07</t>
        </is>
      </c>
      <c r="B349" s="6" t="inlineStr">
        <is>
          <t>V-256904-0028</t>
        </is>
      </c>
      <c r="C349" s="6" t="inlineStr">
        <is>
          <t>ประกันสังคม ชลบุรี — ค่าประกันสังคม กุมภาพันธ์ 2569 [สำรองกมลชนก]</t>
        </is>
      </c>
      <c r="D349" s="6" t="inlineStr">
        <is>
          <t>ค่าใช้จ่ายสำนักงาน</t>
        </is>
      </c>
      <c r="E349" s="6" t="inlineStr">
        <is>
          <t>ALL</t>
        </is>
      </c>
      <c r="F349" s="10" t="n">
        <v>0</v>
      </c>
      <c r="G349" s="10" t="n">
        <v>8630</v>
      </c>
      <c r="H349" s="10" t="n">
        <v>-2221321.609999998</v>
      </c>
      <c r="I349" s="6" t="inlineStr">
        <is>
          <t>เงินสด</t>
        </is>
      </c>
    </row>
    <row r="350">
      <c r="A350" s="6" t="inlineStr">
        <is>
          <t>2569-04-07</t>
        </is>
      </c>
      <c r="B350" s="6" t="inlineStr">
        <is>
          <t>V-256904-0029</t>
        </is>
      </c>
      <c r="C350" s="6" t="inlineStr">
        <is>
          <t>ศรีพโลค้าวัสดุ สำนักงานใหญ่ — ข้องอ [สำรองกมลชนก]</t>
        </is>
      </c>
      <c r="D350" s="6" t="inlineStr">
        <is>
          <t>ต้นทุนขาย-วัสดุก่อสร้าง</t>
        </is>
      </c>
      <c r="E350" s="6" t="inlineStr">
        <is>
          <t>ALL</t>
        </is>
      </c>
      <c r="F350" s="10" t="n">
        <v>0</v>
      </c>
      <c r="G350" s="10" t="n">
        <v>198</v>
      </c>
      <c r="H350" s="10" t="n">
        <v>-2221519.609999998</v>
      </c>
      <c r="I350" s="6" t="inlineStr">
        <is>
          <t>โอน</t>
        </is>
      </c>
    </row>
    <row r="351">
      <c r="A351" s="6" t="inlineStr">
        <is>
          <t>2569-04-07</t>
        </is>
      </c>
      <c r="B351" s="6" t="inlineStr">
        <is>
          <t>V-256904-0030</t>
        </is>
      </c>
      <c r="C351" s="6" t="inlineStr">
        <is>
          <t>น้ำมันบางจาก — น้ำมัน [สำรองกมลชนก]</t>
        </is>
      </c>
      <c r="D351" s="6" t="inlineStr">
        <is>
          <t>ต้นทุนขาย-วัสดุก่อสร้าง</t>
        </is>
      </c>
      <c r="E351" s="6" t="inlineStr">
        <is>
          <t>ALL</t>
        </is>
      </c>
      <c r="F351" s="10" t="n">
        <v>0</v>
      </c>
      <c r="G351" s="10" t="n">
        <v>3500</v>
      </c>
      <c r="H351" s="10" t="n">
        <v>-2225019.609999998</v>
      </c>
      <c r="I351" s="6" t="inlineStr">
        <is>
          <t>โอน</t>
        </is>
      </c>
    </row>
    <row r="352">
      <c r="A352" s="6" t="inlineStr">
        <is>
          <t>2569-04-08</t>
        </is>
      </c>
      <c r="B352" s="6" t="inlineStr">
        <is>
          <t>V-256904-0031</t>
        </is>
      </c>
      <c r="C352" s="6" t="inlineStr">
        <is>
          <t>พลวัฒน์ หอมมาลา — เบิกสำรอง [สำรองกมลชนก ไม่มีเอกสารแนบมีแต่สลิป]</t>
        </is>
      </c>
      <c r="D352" s="6" t="inlineStr">
        <is>
          <t>ต้นทุนขาย-วัสดุก่อสร้าง</t>
        </is>
      </c>
      <c r="E352" s="6" t="inlineStr">
        <is>
          <t>ALL</t>
        </is>
      </c>
      <c r="F352" s="10" t="n">
        <v>0</v>
      </c>
      <c r="G352" s="10" t="n">
        <v>1000</v>
      </c>
      <c r="H352" s="10" t="n">
        <v>-2226019.609999998</v>
      </c>
      <c r="I352" s="6" t="inlineStr">
        <is>
          <t>โอน</t>
        </is>
      </c>
    </row>
    <row r="353">
      <c r="A353" s="6" t="inlineStr">
        <is>
          <t>2569-04-09</t>
        </is>
      </c>
      <c r="B353" s="6" t="inlineStr">
        <is>
          <t>V-256904-0032</t>
        </is>
      </c>
      <c r="C353" s="6" t="inlineStr">
        <is>
          <t>บางจาก — ค่านำมัน [สำรองกมลชนก]</t>
        </is>
      </c>
      <c r="D353" s="6" t="inlineStr">
        <is>
          <t>ต้นทุนขาย-วัสดุก่อสร้าง</t>
        </is>
      </c>
      <c r="E353" s="6" t="inlineStr">
        <is>
          <t>ALL</t>
        </is>
      </c>
      <c r="F353" s="10" t="n">
        <v>0</v>
      </c>
      <c r="G353" s="10" t="n">
        <v>3500</v>
      </c>
      <c r="H353" s="10" t="n">
        <v>-2229519.609999998</v>
      </c>
      <c r="I353" s="6" t="inlineStr">
        <is>
          <t>โอน</t>
        </is>
      </c>
    </row>
    <row r="354">
      <c r="A354" s="6" t="inlineStr">
        <is>
          <t>2569-04-09</t>
        </is>
      </c>
      <c r="B354" s="6" t="inlineStr">
        <is>
          <t>V-256904-0033</t>
        </is>
      </c>
      <c r="C354" s="6" t="inlineStr">
        <is>
          <t>บริษัท เคลียร์ เวิลด์ บิสิเนส กรุ๊ป จำกัด — ถังบำบัด</t>
        </is>
      </c>
      <c r="D354" s="6" t="inlineStr">
        <is>
          <t>ต้นทุนขาย-วัสดุก่อสร้าง</t>
        </is>
      </c>
      <c r="E354" s="6" t="inlineStr">
        <is>
          <t>ALL</t>
        </is>
      </c>
      <c r="F354" s="10" t="n">
        <v>0</v>
      </c>
      <c r="G354" s="10" t="n">
        <v>316720</v>
      </c>
      <c r="H354" s="10" t="n">
        <v>-2546239.609999998</v>
      </c>
      <c r="I354" s="6" t="inlineStr">
        <is>
          <t>เช็ค</t>
        </is>
      </c>
    </row>
    <row r="355">
      <c r="A355" s="6" t="inlineStr">
        <is>
          <t>2569-04-09</t>
        </is>
      </c>
      <c r="B355" s="6" t="inlineStr">
        <is>
          <t>V-256904-0034</t>
        </is>
      </c>
      <c r="C355" s="6" t="inlineStr">
        <is>
          <t>คุณ สิริการย์ จิรอภิวงศ์ชัย — ถังบำบัด 1600</t>
        </is>
      </c>
      <c r="D355" s="6" t="inlineStr">
        <is>
          <t>ต้นทุนขาย-วัสดุก่อสร้าง</t>
        </is>
      </c>
      <c r="E355" s="6" t="inlineStr">
        <is>
          <t>ALL</t>
        </is>
      </c>
      <c r="F355" s="10" t="n">
        <v>0</v>
      </c>
      <c r="G355" s="10" t="n">
        <v>59280</v>
      </c>
      <c r="H355" s="10" t="n">
        <v>-2605519.609999998</v>
      </c>
      <c r="I355" s="6" t="inlineStr">
        <is>
          <t>เช็ค</t>
        </is>
      </c>
    </row>
    <row r="356">
      <c r="A356" s="6" t="inlineStr">
        <is>
          <t>2569-04-10</t>
        </is>
      </c>
      <c r="B356" s="6" t="inlineStr">
        <is>
          <t>V-256904-0035</t>
        </is>
      </c>
      <c r="C356" s="6" t="inlineStr">
        <is>
          <t>พลวัฒน์ หอมมาลา — ช่างต้อมเบิกสำรอง [สำรองกมลชนก ไม่มีเอกสารแนบมีแต่สลิป]</t>
        </is>
      </c>
      <c r="D356" s="6" t="inlineStr">
        <is>
          <t>ต้นทุนขาย-วัสดุก่อสร้าง</t>
        </is>
      </c>
      <c r="E356" s="6" t="inlineStr">
        <is>
          <t>ALL</t>
        </is>
      </c>
      <c r="F356" s="10" t="n">
        <v>0</v>
      </c>
      <c r="G356" s="10" t="n">
        <v>30000</v>
      </c>
      <c r="H356" s="10" t="n">
        <v>-2635519.609999998</v>
      </c>
      <c r="I356" s="6" t="inlineStr">
        <is>
          <t>โอน</t>
        </is>
      </c>
    </row>
    <row r="357">
      <c r="A357" s="6" t="inlineStr">
        <is>
          <t>2569-04-10</t>
        </is>
      </c>
      <c r="B357" s="6" t="inlineStr">
        <is>
          <t>V-256904-0036</t>
        </is>
      </c>
      <c r="C357" s="6" t="inlineStr">
        <is>
          <t>ร้านกาแฟวันเวลา — ค่าบริการเครื่องดื่ม [พงศกรจ่าย]</t>
        </is>
      </c>
      <c r="D357" s="6" t="inlineStr">
        <is>
          <t>ค่าใช้จ่ายสำนักงาน</t>
        </is>
      </c>
      <c r="E357" s="6" t="inlineStr">
        <is>
          <t>ALL</t>
        </is>
      </c>
      <c r="F357" s="10" t="n">
        <v>0</v>
      </c>
      <c r="G357" s="10" t="n">
        <v>8203</v>
      </c>
      <c r="H357" s="10" t="n">
        <v>-2643722.609999998</v>
      </c>
      <c r="I357" s="6" t="inlineStr">
        <is>
          <t>โอน</t>
        </is>
      </c>
    </row>
    <row r="358">
      <c r="A358" s="6" t="inlineStr">
        <is>
          <t>2569-04-10</t>
        </is>
      </c>
      <c r="B358" s="6" t="inlineStr">
        <is>
          <t>V-256904-0037</t>
        </is>
      </c>
      <c r="C358" s="6" t="inlineStr">
        <is>
          <t>พลวัฒน์ หอมมาลา — ช่างแอ๊ดขับแมคโคร [ไม่มีเอกสารแนบมีแต่สลิป  สำรองกมลชนก]</t>
        </is>
      </c>
      <c r="D358" s="6" t="inlineStr">
        <is>
          <t>ต้นทุนขาย-วัสดุก่อสร้าง</t>
        </is>
      </c>
      <c r="E358" s="6" t="inlineStr">
        <is>
          <t>ALL</t>
        </is>
      </c>
      <c r="F358" s="10" t="n">
        <v>0</v>
      </c>
      <c r="G358" s="10" t="n">
        <v>5000</v>
      </c>
      <c r="H358" s="10" t="n">
        <v>-2648722.609999998</v>
      </c>
      <c r="I358" s="6" t="inlineStr">
        <is>
          <t>โอน</t>
        </is>
      </c>
    </row>
    <row r="359">
      <c r="A359" s="6" t="inlineStr">
        <is>
          <t>2569-04-11</t>
        </is>
      </c>
      <c r="B359" s="6" t="inlineStr">
        <is>
          <t>V-256904-0038</t>
        </is>
      </c>
      <c r="C359" s="6" t="inlineStr">
        <is>
          <t>ช่างลา — น้ำมัน [ไม่มีเอกสารแนบมีแต่สลิป  สำรองกมลชนก]</t>
        </is>
      </c>
      <c r="D359" s="6" t="inlineStr">
        <is>
          <t>ต้นทุนขาย-วัสดุก่อสร้าง</t>
        </is>
      </c>
      <c r="E359" s="6" t="inlineStr">
        <is>
          <t>ALL</t>
        </is>
      </c>
      <c r="F359" s="10" t="n">
        <v>0</v>
      </c>
      <c r="G359" s="10" t="n">
        <v>2000</v>
      </c>
      <c r="H359" s="10" t="n">
        <v>-2650722.609999998</v>
      </c>
      <c r="I359" s="6" t="inlineStr">
        <is>
          <t>โอน</t>
        </is>
      </c>
    </row>
    <row r="360">
      <c r="A360" s="6" t="inlineStr">
        <is>
          <t>2569-04-11</t>
        </is>
      </c>
      <c r="B360" s="6" t="inlineStr">
        <is>
          <t>V-256904-0039</t>
        </is>
      </c>
      <c r="C360" s="6" t="inlineStr">
        <is>
          <t>นาย รชานนท์ ด้วงคงสุก — ค่าทำบัญชี มีนาคม 2569 [สำรองกมลชนก]</t>
        </is>
      </c>
      <c r="D360" s="6" t="inlineStr">
        <is>
          <t>ค่าใช้จ่ายสำนักงาน</t>
        </is>
      </c>
      <c r="E360" s="6" t="inlineStr">
        <is>
          <t>ALL</t>
        </is>
      </c>
      <c r="F360" s="10" t="n">
        <v>0</v>
      </c>
      <c r="G360" s="10" t="n">
        <v>4000</v>
      </c>
      <c r="H360" s="10" t="n">
        <v>-2654722.609999998</v>
      </c>
      <c r="I360" s="6" t="inlineStr">
        <is>
          <t>โอน</t>
        </is>
      </c>
    </row>
    <row r="361">
      <c r="A361" s="6" t="inlineStr">
        <is>
          <t>2569-04-11</t>
        </is>
      </c>
      <c r="B361" s="6" t="inlineStr">
        <is>
          <t>V-256904-0040</t>
        </is>
      </c>
      <c r="C361" s="6" t="inlineStr">
        <is>
          <t>แฟมิลี่เครน — เครน 1 วัน [สำรองกมลชนก หัก  ณ ที่จ่าย]</t>
        </is>
      </c>
      <c r="D361" s="6" t="inlineStr">
        <is>
          <t>ต้นทุนขาย-วัสดุก่อสร้าง</t>
        </is>
      </c>
      <c r="E361" s="6" t="inlineStr">
        <is>
          <t>ALL</t>
        </is>
      </c>
      <c r="F361" s="10" t="n">
        <v>0</v>
      </c>
      <c r="G361" s="10" t="n">
        <v>7280</v>
      </c>
      <c r="H361" s="10" t="n">
        <v>-2662002.609999998</v>
      </c>
      <c r="I361" s="6" t="inlineStr">
        <is>
          <t>โอน</t>
        </is>
      </c>
    </row>
    <row r="362">
      <c r="A362" s="6" t="inlineStr">
        <is>
          <t>2569-04-16</t>
        </is>
      </c>
      <c r="B362" s="6" t="inlineStr">
        <is>
          <t>V-256904-0041</t>
        </is>
      </c>
      <c r="C362" s="6" t="inlineStr">
        <is>
          <t>E-filing — ภาษี2569 [พงศกรจ่าย]</t>
        </is>
      </c>
      <c r="D362" s="6" t="inlineStr">
        <is>
          <t>ค่าใช้จ่ายสำนักงาน</t>
        </is>
      </c>
      <c r="E362" s="6" t="inlineStr">
        <is>
          <t>ALL</t>
        </is>
      </c>
      <c r="F362" s="10" t="n">
        <v>0</v>
      </c>
      <c r="G362" s="10" t="n">
        <v>14632.14</v>
      </c>
      <c r="H362" s="10" t="n">
        <v>-2676634.749999998</v>
      </c>
      <c r="I362" s="6" t="inlineStr">
        <is>
          <t>โอน</t>
        </is>
      </c>
    </row>
    <row r="363">
      <c r="A363" s="6" t="inlineStr">
        <is>
          <t>2569-04-17</t>
        </is>
      </c>
      <c r="B363" s="6" t="inlineStr">
        <is>
          <t>V-256904-0042</t>
        </is>
      </c>
      <c r="C363" s="6" t="inlineStr">
        <is>
          <t>หจก.พี.เจ.ฮาร์ดแวร์ (2008) — ท่อ อุปกรณ์ก่อสร้าง</t>
        </is>
      </c>
      <c r="D363" s="6" t="inlineStr">
        <is>
          <t>ต้นทุนขาย-วัสดุก่อสร้าง</t>
        </is>
      </c>
      <c r="E363" s="6" t="inlineStr">
        <is>
          <t>ALL</t>
        </is>
      </c>
      <c r="F363" s="10" t="n">
        <v>0</v>
      </c>
      <c r="G363" s="10" t="n">
        <v>119995</v>
      </c>
      <c r="H363" s="10" t="n">
        <v>-2796629.749999998</v>
      </c>
      <c r="I363" s="6" t="inlineStr">
        <is>
          <t>เช็ค</t>
        </is>
      </c>
    </row>
    <row r="364">
      <c r="A364" s="6" t="inlineStr">
        <is>
          <t>2569-04-17</t>
        </is>
      </c>
      <c r="B364" s="6" t="inlineStr">
        <is>
          <t>V-256904-0043</t>
        </is>
      </c>
      <c r="C364" s="6" t="inlineStr">
        <is>
          <t>หจก.พี.เจ.ฮาร์ดแวร์ (2008) — สายไฟ</t>
        </is>
      </c>
      <c r="D364" s="6" t="inlineStr">
        <is>
          <t>ต้นทุนขาย-วัสดุก่อสร้าง</t>
        </is>
      </c>
      <c r="E364" s="6" t="inlineStr">
        <is>
          <t>ALL</t>
        </is>
      </c>
      <c r="F364" s="10" t="n">
        <v>0</v>
      </c>
      <c r="G364" s="10" t="n">
        <v>52100</v>
      </c>
      <c r="H364" s="10" t="n">
        <v>-2848729.749999998</v>
      </c>
      <c r="I364" s="6" t="inlineStr">
        <is>
          <t>เช็ค</t>
        </is>
      </c>
    </row>
    <row r="365">
      <c r="A365" s="6" t="inlineStr">
        <is>
          <t>2569-04-18</t>
        </is>
      </c>
      <c r="B365" s="6" t="inlineStr">
        <is>
          <t>V-256904-0044</t>
        </is>
      </c>
      <c r="C365" s="6" t="inlineStr">
        <is>
          <t>ช่างจอย — ค่าแรงเฝ้าโครงการ 6วัน*1000 [หัก  ณ ที่จ่าย 180]</t>
        </is>
      </c>
      <c r="D365" s="6" t="inlineStr">
        <is>
          <t>ค่าใช้จ่ายสำนักงาน</t>
        </is>
      </c>
      <c r="E365" s="6" t="inlineStr">
        <is>
          <t>ALL</t>
        </is>
      </c>
      <c r="F365" s="10" t="n">
        <v>0</v>
      </c>
      <c r="G365" s="10" t="n">
        <v>5820</v>
      </c>
      <c r="H365" s="10" t="n">
        <v>-2854549.749999998</v>
      </c>
      <c r="I365" s="6" t="inlineStr">
        <is>
          <t>เงินสด</t>
        </is>
      </c>
    </row>
    <row r="366">
      <c r="A366" s="6" t="inlineStr">
        <is>
          <t>2569-04-18</t>
        </is>
      </c>
      <c r="B366" s="6" t="inlineStr">
        <is>
          <t>V-256904-0045</t>
        </is>
      </c>
      <c r="C366" s="6" t="inlineStr">
        <is>
          <t>เอส เอส เซอร์วิส — ค่าบริการเครื่องถ่ายเอกสาร มีนาคม 2569 [สำรองกมลชนก หัก  ณ ที่จ่าย]</t>
        </is>
      </c>
      <c r="D366" s="6" t="inlineStr">
        <is>
          <t>ค่าใช้จ่ายสำนักงาน</t>
        </is>
      </c>
      <c r="E366" s="6" t="inlineStr">
        <is>
          <t>ALL</t>
        </is>
      </c>
      <c r="F366" s="10" t="n">
        <v>0</v>
      </c>
      <c r="G366" s="10" t="n">
        <v>2036.18</v>
      </c>
      <c r="H366" s="10" t="n">
        <v>-2856585.929999998</v>
      </c>
      <c r="I366" s="6" t="inlineStr">
        <is>
          <t>โอน</t>
        </is>
      </c>
    </row>
    <row r="367">
      <c r="A367" s="6" t="inlineStr">
        <is>
          <t>2569-04-20</t>
        </is>
      </c>
      <c r="B367" s="6" t="inlineStr">
        <is>
          <t>V-256904-0046</t>
        </is>
      </c>
      <c r="C367" s="6" t="inlineStr">
        <is>
          <t>บริษัท จอร์สตัน เซอร์วิส กรุ๊ป จำกัด — แปลง 5,8-10 [สำรองกมลชนก หัก  ณ ที่จ่าย]</t>
        </is>
      </c>
      <c r="D367" s="6" t="inlineStr">
        <is>
          <t>ต้นทุนขาย-วัสดุก่อสร้าง</t>
        </is>
      </c>
      <c r="E367" s="6" t="inlineStr">
        <is>
          <t>ALL</t>
        </is>
      </c>
      <c r="F367" s="10" t="n">
        <v>0</v>
      </c>
      <c r="G367" s="10" t="n">
        <v>22880</v>
      </c>
      <c r="H367" s="10" t="n">
        <v>-2879465.929999998</v>
      </c>
      <c r="I367" s="6" t="inlineStr">
        <is>
          <t>โอน</t>
        </is>
      </c>
    </row>
    <row r="368">
      <c r="A368" s="6" t="inlineStr">
        <is>
          <t>2569-04-20</t>
        </is>
      </c>
      <c r="B368" s="6" t="inlineStr">
        <is>
          <t>V-256904-0047</t>
        </is>
      </c>
      <c r="C368" s="6" t="inlineStr">
        <is>
          <t>บริษัท จอร์สตัน เซอร์วิส กรุ๊ป จำกัด — แปลง11,12,13,18,19 [สำรองกมลชนก หัก  ณ ที่จ่าย]</t>
        </is>
      </c>
      <c r="D368" s="6" t="inlineStr">
        <is>
          <t>ต้นทุนขาย-วัสดุก่อสร้าง</t>
        </is>
      </c>
      <c r="E368" s="6" t="inlineStr">
        <is>
          <t>ALL</t>
        </is>
      </c>
      <c r="F368" s="10" t="n">
        <v>0</v>
      </c>
      <c r="G368" s="10" t="n">
        <v>28600</v>
      </c>
      <c r="H368" s="10" t="n">
        <v>-2908065.929999998</v>
      </c>
      <c r="I368" s="6" t="inlineStr">
        <is>
          <t>โอน</t>
        </is>
      </c>
    </row>
    <row r="369">
      <c r="A369" s="6" t="inlineStr">
        <is>
          <t>2569-04-20</t>
        </is>
      </c>
      <c r="B369" s="6" t="inlineStr">
        <is>
          <t>V-256904-0048</t>
        </is>
      </c>
      <c r="C369" s="6" t="inlineStr">
        <is>
          <t>บริษัท จอร์สตัน เซอร์วิส กรุ๊ป จำกัด — แปลง166-172 [สำรองกมลชนก หัก  ณ ที่จ่าย]</t>
        </is>
      </c>
      <c r="D369" s="6" t="inlineStr">
        <is>
          <t>ต้นทุนขาย-วัสดุก่อสร้าง</t>
        </is>
      </c>
      <c r="E369" s="6" t="inlineStr">
        <is>
          <t>ALL</t>
        </is>
      </c>
      <c r="F369" s="10" t="n">
        <v>0</v>
      </c>
      <c r="G369" s="10" t="n">
        <v>29120</v>
      </c>
      <c r="H369" s="10" t="n">
        <v>-2937185.929999998</v>
      </c>
      <c r="I369" s="6" t="inlineStr">
        <is>
          <t>โอน</t>
        </is>
      </c>
    </row>
    <row r="370">
      <c r="A370" s="6" t="inlineStr">
        <is>
          <t>2569-04-20</t>
        </is>
      </c>
      <c r="B370" s="6" t="inlineStr">
        <is>
          <t>V-256904-0049</t>
        </is>
      </c>
      <c r="C370" s="6" t="inlineStr">
        <is>
          <t>บริษัท ส.เจริญชัยค้าวัสดุก่อสร้าง — ลวด เหล็ก ปลอก</t>
        </is>
      </c>
      <c r="D370" s="6" t="inlineStr">
        <is>
          <t>ต้นทุนขาย-วัสดุก่อสร้าง</t>
        </is>
      </c>
      <c r="E370" s="6" t="inlineStr">
        <is>
          <t>ALL</t>
        </is>
      </c>
      <c r="F370" s="10" t="n">
        <v>0</v>
      </c>
      <c r="G370" s="10" t="n">
        <v>382158</v>
      </c>
      <c r="H370" s="10" t="n">
        <v>-3319343.929999998</v>
      </c>
      <c r="I370" s="6" t="inlineStr">
        <is>
          <t>เช็ค</t>
        </is>
      </c>
    </row>
    <row r="371">
      <c r="A371" s="6" t="inlineStr">
        <is>
          <t>2569-04-20</t>
        </is>
      </c>
      <c r="B371" s="6" t="inlineStr">
        <is>
          <t>V-256904-0050</t>
        </is>
      </c>
      <c r="C371" s="6" t="inlineStr">
        <is>
          <t>บริษัท เอส.เจ.ซี.คอนกรีต — แผ่นพื้น</t>
        </is>
      </c>
      <c r="D371" s="6" t="inlineStr">
        <is>
          <t>ต้นทุนขาย-วัสดุก่อสร้าง</t>
        </is>
      </c>
      <c r="E371" s="6" t="inlineStr">
        <is>
          <t>ALL</t>
        </is>
      </c>
      <c r="F371" s="10" t="n">
        <v>0</v>
      </c>
      <c r="G371" s="10" t="n">
        <v>109793</v>
      </c>
      <c r="H371" s="10" t="n">
        <v>-3429136.929999998</v>
      </c>
      <c r="I371" s="6" t="inlineStr">
        <is>
          <t>เช็ค</t>
        </is>
      </c>
    </row>
    <row r="372">
      <c r="A372" s="6" t="inlineStr">
        <is>
          <t>2569-04-20</t>
        </is>
      </c>
      <c r="B372" s="6" t="inlineStr">
        <is>
          <t>V-256904-0051</t>
        </is>
      </c>
      <c r="C372" s="6" t="inlineStr">
        <is>
          <t>ชลบุรีอึ้งย่งล้ง — ปูนซีเมนต์</t>
        </is>
      </c>
      <c r="D372" s="6" t="inlineStr">
        <is>
          <t>ต้นทุนขาย-วัสดุก่อสร้าง</t>
        </is>
      </c>
      <c r="E372" s="6" t="inlineStr">
        <is>
          <t>ALL</t>
        </is>
      </c>
      <c r="F372" s="10" t="n">
        <v>0</v>
      </c>
      <c r="G372" s="10" t="n">
        <v>187416</v>
      </c>
      <c r="H372" s="10" t="n">
        <v>-3616552.929999998</v>
      </c>
      <c r="I372" s="6" t="inlineStr">
        <is>
          <t>เช็ค</t>
        </is>
      </c>
    </row>
    <row r="373">
      <c r="A373" s="6" t="inlineStr">
        <is>
          <t>2569-04-20</t>
        </is>
      </c>
      <c r="B373" s="6" t="inlineStr">
        <is>
          <t>V-256904-0052</t>
        </is>
      </c>
      <c r="C373" s="6" t="inlineStr">
        <is>
          <t>เพิ่มทรัพย์ ค้าวัสดุก่อสร้าง — คอนกรีต</t>
        </is>
      </c>
      <c r="D373" s="6" t="inlineStr">
        <is>
          <t>ต้นทุนขาย-วัสดุก่อสร้าง</t>
        </is>
      </c>
      <c r="E373" s="6" t="inlineStr">
        <is>
          <t>ALL</t>
        </is>
      </c>
      <c r="F373" s="10" t="n">
        <v>0</v>
      </c>
      <c r="G373" s="10" t="n">
        <v>248856</v>
      </c>
      <c r="H373" s="10" t="n">
        <v>-3865408.929999998</v>
      </c>
      <c r="I373" s="6" t="inlineStr">
        <is>
          <t>เช็ค</t>
        </is>
      </c>
    </row>
    <row r="374">
      <c r="A374" s="6" t="inlineStr">
        <is>
          <t>2569-04-21</t>
        </is>
      </c>
      <c r="B374" s="6" t="inlineStr">
        <is>
          <t>V-256904-0053</t>
        </is>
      </c>
      <c r="C374" s="6" t="inlineStr">
        <is>
          <t>วีรชาติบายพาสค้าไม้ — ยูคา ไม้อัด ยางนา [พงศกรจ่าย]</t>
        </is>
      </c>
      <c r="D374" s="6" t="inlineStr">
        <is>
          <t>ต้นทุนขาย-วัสดุก่อสร้าง</t>
        </is>
      </c>
      <c r="E374" s="6" t="inlineStr">
        <is>
          <t>ALL</t>
        </is>
      </c>
      <c r="F374" s="10" t="n">
        <v>0</v>
      </c>
      <c r="G374" s="10" t="n">
        <v>21005</v>
      </c>
      <c r="H374" s="10" t="n">
        <v>-3886413.929999998</v>
      </c>
      <c r="I374" s="6" t="inlineStr">
        <is>
          <t>โอน</t>
        </is>
      </c>
    </row>
    <row r="375">
      <c r="A375" s="6" t="inlineStr">
        <is>
          <t>2569-04-21</t>
        </is>
      </c>
      <c r="B375" s="6" t="inlineStr">
        <is>
          <t>V-256904-0054</t>
        </is>
      </c>
      <c r="C375" s="6" t="inlineStr">
        <is>
          <t>กังสดาล ค้าไม้ — อิฐบล็อคเทา [สำรองกมลชนก]</t>
        </is>
      </c>
      <c r="D375" s="6" t="inlineStr">
        <is>
          <t>ต้นทุนขาย-วัสดุก่อสร้าง</t>
        </is>
      </c>
      <c r="E375" s="6" t="inlineStr">
        <is>
          <t>ALL</t>
        </is>
      </c>
      <c r="F375" s="10" t="n">
        <v>0</v>
      </c>
      <c r="G375" s="10" t="n">
        <v>4250</v>
      </c>
      <c r="H375" s="10" t="n">
        <v>-3890663.929999998</v>
      </c>
      <c r="I375" s="6" t="inlineStr">
        <is>
          <t>โอน</t>
        </is>
      </c>
    </row>
    <row r="376">
      <c r="A376" s="6" t="inlineStr">
        <is>
          <t>2569-04-23</t>
        </is>
      </c>
      <c r="B376" s="6" t="inlineStr">
        <is>
          <t>V-256904-0055</t>
        </is>
      </c>
      <c r="C376" s="6" t="inlineStr">
        <is>
          <t>ศรีพโลค้าวัสดุ สำนักงานใหญ่ — ข้องอ ก็อกสนาม [สำรองกมลชนก]</t>
        </is>
      </c>
      <c r="D376" s="6" t="inlineStr">
        <is>
          <t>ต้นทุนขาย-วัสดุก่อสร้าง</t>
        </is>
      </c>
      <c r="E376" s="6" t="inlineStr">
        <is>
          <t>ALL</t>
        </is>
      </c>
      <c r="F376" s="10" t="n">
        <v>0</v>
      </c>
      <c r="G376" s="10" t="n">
        <v>250</v>
      </c>
      <c r="H376" s="10" t="n">
        <v>-3890913.929999998</v>
      </c>
      <c r="I376" s="6" t="inlineStr">
        <is>
          <t>โอน</t>
        </is>
      </c>
    </row>
    <row r="377">
      <c r="A377" s="6" t="inlineStr">
        <is>
          <t>2569-04-24</t>
        </is>
      </c>
      <c r="B377" s="6" t="inlineStr">
        <is>
          <t>V-256904-0056</t>
        </is>
      </c>
      <c r="C377" s="6" t="inlineStr">
        <is>
          <t>แฟมิลี่เครน — เครน 1 วัน [ยอดรวม 12480 ทำหัก ณ ที่จ่าย สำรองกมลชนก]</t>
        </is>
      </c>
      <c r="D377" s="6" t="inlineStr">
        <is>
          <t>ต้นทุนขาย-วัสดุก่อสร้าง</t>
        </is>
      </c>
      <c r="E377" s="6" t="inlineStr">
        <is>
          <t>ALL</t>
        </is>
      </c>
      <c r="F377" s="10" t="n">
        <v>0</v>
      </c>
      <c r="G377" s="10" t="n">
        <v>7280</v>
      </c>
      <c r="H377" s="10" t="n">
        <v>-3898193.929999998</v>
      </c>
      <c r="I377" s="6" t="inlineStr">
        <is>
          <t>โอน</t>
        </is>
      </c>
    </row>
    <row r="378">
      <c r="A378" s="6" t="inlineStr">
        <is>
          <t>2569-04-24</t>
        </is>
      </c>
      <c r="B378" s="6" t="inlineStr">
        <is>
          <t>V-256904-0057</t>
        </is>
      </c>
      <c r="C378" s="6" t="inlineStr">
        <is>
          <t>แฟมิลี่เครน — เครน 1 วัน [ยอดรวม 12480 ทำหัก ณ ที่จ่าย สำรองกมลชนก]</t>
        </is>
      </c>
      <c r="D378" s="6" t="inlineStr">
        <is>
          <t>ต้นทุนขาย-วัสดุก่อสร้าง</t>
        </is>
      </c>
      <c r="E378" s="6" t="inlineStr">
        <is>
          <t>ALL</t>
        </is>
      </c>
      <c r="F378" s="10" t="n">
        <v>0</v>
      </c>
      <c r="G378" s="10" t="n">
        <v>5200</v>
      </c>
      <c r="H378" s="10" t="n">
        <v>-3903393.929999998</v>
      </c>
      <c r="I378" s="6" t="inlineStr">
        <is>
          <t>โอน</t>
        </is>
      </c>
    </row>
    <row r="379">
      <c r="A379" s="6" t="inlineStr">
        <is>
          <t>2569-04-24</t>
        </is>
      </c>
      <c r="B379" s="6" t="inlineStr">
        <is>
          <t>V-256904-0058</t>
        </is>
      </c>
      <c r="C379" s="6" t="inlineStr">
        <is>
          <t>ศรีพโลค้าวัสดุ สำนักงานใหญ่ — น้ำมันสน [สำรองกมลชนก]</t>
        </is>
      </c>
      <c r="D379" s="6" t="inlineStr">
        <is>
          <t>ต้นทุนขาย-วัสดุก่อสร้าง</t>
        </is>
      </c>
      <c r="E379" s="6" t="inlineStr">
        <is>
          <t>ALL</t>
        </is>
      </c>
      <c r="F379" s="10" t="n">
        <v>0</v>
      </c>
      <c r="G379" s="10" t="n">
        <v>4980</v>
      </c>
      <c r="H379" s="10" t="n">
        <v>-3908373.929999998</v>
      </c>
      <c r="I379" s="6" t="inlineStr">
        <is>
          <t>โอน</t>
        </is>
      </c>
    </row>
    <row r="380">
      <c r="A380" s="6" t="inlineStr">
        <is>
          <t>2569-04-25</t>
        </is>
      </c>
      <c r="B380" s="6" t="inlineStr">
        <is>
          <t>V-256904-0059</t>
        </is>
      </c>
      <c r="C380" s="6" t="inlineStr">
        <is>
          <t>Homppro — กระเบื้อง [สำรองกมลชนก]</t>
        </is>
      </c>
      <c r="D380" s="6" t="inlineStr">
        <is>
          <t>ต้นทุนขาย-วัสดุก่อสร้าง</t>
        </is>
      </c>
      <c r="E380" s="6" t="inlineStr">
        <is>
          <t>ALL</t>
        </is>
      </c>
      <c r="F380" s="10" t="n">
        <v>0</v>
      </c>
      <c r="G380" s="10" t="n">
        <v>1946.97</v>
      </c>
      <c r="H380" s="10" t="n">
        <v>-3910320.899999999</v>
      </c>
      <c r="I380" s="6" t="inlineStr">
        <is>
          <t>โอน</t>
        </is>
      </c>
    </row>
    <row r="381">
      <c r="A381" s="6" t="inlineStr">
        <is>
          <t>2569-04-25</t>
        </is>
      </c>
      <c r="B381" s="6" t="inlineStr">
        <is>
          <t>V-256904-0060</t>
        </is>
      </c>
      <c r="C381" s="6" t="inlineStr">
        <is>
          <t>ศรีพโลค้าวัสดุ สำนักงานใหญ่ — ผงยิปซั่ม ผ้ายิปซั่ม [สำรองกมลชนก]</t>
        </is>
      </c>
      <c r="D381" s="6" t="inlineStr">
        <is>
          <t>ต้นทุนขาย-วัสดุก่อสร้าง</t>
        </is>
      </c>
      <c r="E381" s="6" t="inlineStr">
        <is>
          <t>ALL</t>
        </is>
      </c>
      <c r="F381" s="10" t="n">
        <v>0</v>
      </c>
      <c r="G381" s="10" t="n">
        <v>325</v>
      </c>
      <c r="H381" s="10" t="n">
        <v>-3910645.899999999</v>
      </c>
      <c r="I381" s="6" t="inlineStr">
        <is>
          <t>โอน</t>
        </is>
      </c>
    </row>
    <row r="382">
      <c r="A382" s="6" t="inlineStr">
        <is>
          <t>2569-04-25</t>
        </is>
      </c>
      <c r="B382" s="6" t="inlineStr">
        <is>
          <t>V-256904-0061</t>
        </is>
      </c>
      <c r="C382" s="6" t="inlineStr">
        <is>
          <t>นาย โกวิท — น้ำมัน,จระบี [สำรองกมลชนก]</t>
        </is>
      </c>
      <c r="D382" s="6" t="inlineStr">
        <is>
          <t>ต้นทุนขาย-วัสดุก่อสร้าง</t>
        </is>
      </c>
      <c r="E382" s="6" t="inlineStr">
        <is>
          <t>ALL</t>
        </is>
      </c>
      <c r="F382" s="10" t="n">
        <v>0</v>
      </c>
      <c r="G382" s="10" t="n">
        <v>2950</v>
      </c>
      <c r="H382" s="10" t="n">
        <v>-3913595.899999999</v>
      </c>
      <c r="I382" s="6" t="inlineStr">
        <is>
          <t>โอน</t>
        </is>
      </c>
    </row>
    <row r="383">
      <c r="A383" s="6" t="inlineStr">
        <is>
          <t>2569-04-27</t>
        </is>
      </c>
      <c r="B383" s="6" t="inlineStr">
        <is>
          <t>V-256904-0062</t>
        </is>
      </c>
      <c r="C383" s="6" t="inlineStr">
        <is>
          <t>แฟมิลี่เครน — เครน 1 วัน [หัก  ณ ที่จ่าย  สำรองกมลชนก]</t>
        </is>
      </c>
      <c r="D383" s="6" t="inlineStr">
        <is>
          <t>ต้นทุนขาย-วัสดุก่อสร้าง</t>
        </is>
      </c>
      <c r="E383" s="6" t="inlineStr">
        <is>
          <t>ALL</t>
        </is>
      </c>
      <c r="F383" s="10" t="n">
        <v>0</v>
      </c>
      <c r="G383" s="10" t="n">
        <v>7280</v>
      </c>
      <c r="H383" s="10" t="n">
        <v>-3920875.899999999</v>
      </c>
      <c r="I383" s="6" t="inlineStr">
        <is>
          <t>โอน</t>
        </is>
      </c>
    </row>
    <row r="384">
      <c r="A384" s="6" t="inlineStr">
        <is>
          <t>2569-04-27</t>
        </is>
      </c>
      <c r="B384" s="6" t="inlineStr">
        <is>
          <t>V-256904-0063</t>
        </is>
      </c>
      <c r="C384" s="6" t="inlineStr">
        <is>
          <t>AIS fibre — ค่าบริการ2เดือน [หัก  ณ ที่จ่าย  สำรองกมลชนก]</t>
        </is>
      </c>
      <c r="D384" s="6" t="inlineStr">
        <is>
          <t>ค่าใช้จ่ายสำนักงาน</t>
        </is>
      </c>
      <c r="E384" s="6" t="inlineStr">
        <is>
          <t>ALL</t>
        </is>
      </c>
      <c r="F384" s="10" t="n">
        <v>0</v>
      </c>
      <c r="G384" s="10" t="n">
        <v>1453.92</v>
      </c>
      <c r="H384" s="10" t="n">
        <v>-3922329.819999998</v>
      </c>
      <c r="I384" s="6" t="inlineStr">
        <is>
          <t>โอน</t>
        </is>
      </c>
    </row>
    <row r="385">
      <c r="A385" s="6" t="inlineStr">
        <is>
          <t>2569-04-28</t>
        </is>
      </c>
      <c r="B385" s="6" t="inlineStr">
        <is>
          <t>V-256904-0064</t>
        </is>
      </c>
      <c r="C385" s="6" t="inlineStr">
        <is>
          <t>บ้านไม้ยูคา — ไม้ยูคาสร้างแคมป์ [พงศกรจ่าย]</t>
        </is>
      </c>
      <c r="D385" s="6" t="inlineStr">
        <is>
          <t>ต้นทุนขาย-วัสดุก่อสร้าง</t>
        </is>
      </c>
      <c r="E385" s="6" t="inlineStr">
        <is>
          <t>ALL</t>
        </is>
      </c>
      <c r="F385" s="10" t="n">
        <v>0</v>
      </c>
      <c r="G385" s="10" t="n">
        <v>33930</v>
      </c>
      <c r="H385" s="10" t="n">
        <v>-3956259.819999998</v>
      </c>
      <c r="I385" s="6" t="inlineStr">
        <is>
          <t>โอน</t>
        </is>
      </c>
    </row>
    <row r="386">
      <c r="A386" s="6" t="inlineStr">
        <is>
          <t>2569-04-29</t>
        </is>
      </c>
      <c r="B386" s="6" t="inlineStr">
        <is>
          <t>V-256904-0065</t>
        </is>
      </c>
      <c r="C386" s="6" t="inlineStr">
        <is>
          <t>พลวัฒน์ หอมมาลา — ช่างต้อมและน้าแอดล่วงหน้า [สำรองกมลชนก]</t>
        </is>
      </c>
      <c r="D386" s="6" t="inlineStr">
        <is>
          <t>ต้นทุนขาย-วัสดุก่อสร้าง</t>
        </is>
      </c>
      <c r="E386" s="6" t="inlineStr">
        <is>
          <t>ALL</t>
        </is>
      </c>
      <c r="F386" s="10" t="n">
        <v>0</v>
      </c>
      <c r="G386" s="10" t="n">
        <v>9800</v>
      </c>
      <c r="H386" s="10" t="n">
        <v>-3966059.819999998</v>
      </c>
      <c r="I386" s="6" t="inlineStr">
        <is>
          <t>โอน</t>
        </is>
      </c>
    </row>
    <row r="387">
      <c r="A387" s="6" t="inlineStr">
        <is>
          <t>2569-04-29</t>
        </is>
      </c>
      <c r="B387" s="6" t="inlineStr">
        <is>
          <t>V-256904-0066</t>
        </is>
      </c>
      <c r="C387" s="6" t="inlineStr">
        <is>
          <t>ศรีพโลค้าวัสดุ สำนักงานใหญ่ — น้ำมันสน 6 ปีบ [สำรองกมลชนก]</t>
        </is>
      </c>
      <c r="D387" s="6" t="inlineStr">
        <is>
          <t>ต้นทุนขาย-วัสดุก่อสร้าง</t>
        </is>
      </c>
      <c r="E387" s="6" t="inlineStr">
        <is>
          <t>ALL</t>
        </is>
      </c>
      <c r="F387" s="10" t="n">
        <v>0</v>
      </c>
      <c r="G387" s="10" t="n">
        <v>3480</v>
      </c>
      <c r="H387" s="10" t="n">
        <v>-3969539.819999998</v>
      </c>
      <c r="I387" s="6" t="inlineStr">
        <is>
          <t>โอน</t>
        </is>
      </c>
    </row>
    <row r="388">
      <c r="A388" s="6" t="inlineStr">
        <is>
          <t>2569-04-29</t>
        </is>
      </c>
      <c r="B388" s="6" t="inlineStr">
        <is>
          <t>V-256904-0067</t>
        </is>
      </c>
      <c r="C388" s="6" t="inlineStr">
        <is>
          <t>บางจาก — น้ำมันแมคโคร [สำรองกมลชนก]</t>
        </is>
      </c>
      <c r="D388" s="6" t="inlineStr">
        <is>
          <t>ต้นทุนขาย-วัสดุก่อสร้าง</t>
        </is>
      </c>
      <c r="E388" s="6" t="inlineStr">
        <is>
          <t>ALL</t>
        </is>
      </c>
      <c r="F388" s="10" t="n">
        <v>0</v>
      </c>
      <c r="G388" s="10" t="n">
        <v>2500</v>
      </c>
      <c r="H388" s="10" t="n">
        <v>-3972039.819999998</v>
      </c>
      <c r="I388" s="6" t="inlineStr">
        <is>
          <t>โอน</t>
        </is>
      </c>
    </row>
    <row r="389">
      <c r="A389" s="6" t="inlineStr">
        <is>
          <t>2569-04-30</t>
        </is>
      </c>
      <c r="B389" s="6" t="inlineStr">
        <is>
          <t>V-256904-0068</t>
        </is>
      </c>
      <c r="C389" s="6" t="inlineStr">
        <is>
          <t>ศรีพโลค้าวัสดุ สำนักงานใหญ่ — ข้องอ45 4 นิ้ว [สำรองกมลชนก]</t>
        </is>
      </c>
      <c r="D389" s="6" t="inlineStr">
        <is>
          <t>ต้นทุนขาย-วัสดุก่อสร้าง</t>
        </is>
      </c>
      <c r="E389" s="6" t="inlineStr">
        <is>
          <t>ALL</t>
        </is>
      </c>
      <c r="F389" s="10" t="n">
        <v>0</v>
      </c>
      <c r="G389" s="10" t="n">
        <v>1300</v>
      </c>
      <c r="H389" s="10" t="n">
        <v>-3973339.819999998</v>
      </c>
      <c r="I389" s="6" t="inlineStr">
        <is>
          <t>โอน</t>
        </is>
      </c>
    </row>
    <row r="390">
      <c r="A390" s="6" t="inlineStr">
        <is>
          <t>2569-04-30</t>
        </is>
      </c>
      <c r="B390" s="6" t="inlineStr">
        <is>
          <t>V-256904-0069</t>
        </is>
      </c>
      <c r="C390" s="6" t="inlineStr">
        <is>
          <t>บริษัท สหโชคชัย แปดริ้ว จำกัด — บานพับ มือจับ</t>
        </is>
      </c>
      <c r="D390" s="6" t="inlineStr">
        <is>
          <t>ต้นทุนขาย-วัสดุก่อสร้าง</t>
        </is>
      </c>
      <c r="E390" s="6" t="inlineStr">
        <is>
          <t>ALL</t>
        </is>
      </c>
      <c r="F390" s="10" t="n">
        <v>0</v>
      </c>
      <c r="G390" s="10" t="n">
        <v>242260</v>
      </c>
      <c r="H390" s="10" t="n">
        <v>-4215599.819999998</v>
      </c>
      <c r="I390" s="6" t="inlineStr">
        <is>
          <t>เช็ค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6" customWidth="1" min="4" max="4"/>
    <col width="16" customWidth="1" min="5" max="5"/>
    <col width="12" customWidth="1" min="6" max="6"/>
    <col width="14" customWidth="1" min="7" max="7"/>
    <col width="10" customWidth="1" min="8" max="8"/>
    <col width="13" customWidth="1" min="9" max="9"/>
    <col width="16" customWidth="1" min="10" max="10"/>
    <col width="10" customWidth="1" min="11" max="11"/>
    <col width="12" customWidth="1" min="12" max="12"/>
    <col width="13" customWidth="1" min="13" max="13"/>
    <col width="12" customWidth="1" min="14" max="14"/>
  </cols>
  <sheetData>
    <row r="1" ht="28" customHeight="1">
      <c r="A1" s="9" t="inlineStr">
        <is>
          <t>invoice_no</t>
        </is>
      </c>
      <c r="B1" s="9" t="inlineStr">
        <is>
          <t>invoice_date</t>
        </is>
      </c>
      <c r="C1" s="9" t="inlineStr">
        <is>
          <t>vendor_id</t>
        </is>
      </c>
      <c r="D1" s="9" t="inlineStr">
        <is>
          <t>vendor_name</t>
        </is>
      </c>
      <c r="E1" s="9" t="inlineStr">
        <is>
          <t>amount_before_vat</t>
        </is>
      </c>
      <c r="F1" s="9" t="inlineStr">
        <is>
          <t>vat_7</t>
        </is>
      </c>
      <c r="G1" s="9" t="inlineStr">
        <is>
          <t>total</t>
        </is>
      </c>
      <c r="H1" s="9" t="inlineStr">
        <is>
          <t>credit_term_days</t>
        </is>
      </c>
      <c r="I1" s="9" t="inlineStr">
        <is>
          <t>due_date</t>
        </is>
      </c>
      <c r="J1" s="9" t="inlineStr">
        <is>
          <t>po_ref</t>
        </is>
      </c>
      <c r="K1" s="9" t="inlineStr">
        <is>
          <t>project</t>
        </is>
      </c>
      <c r="L1" s="9" t="inlineStr">
        <is>
          <t>status</t>
        </is>
      </c>
      <c r="M1" s="9" t="inlineStr">
        <is>
          <t>payment_date</t>
        </is>
      </c>
      <c r="N1" s="9" t="inlineStr">
        <is>
          <t>wht_3</t>
        </is>
      </c>
    </row>
    <row r="2">
      <c r="A2" s="6" t="inlineStr">
        <is>
          <t>INV2569-001</t>
        </is>
      </c>
      <c r="B2" s="6" t="inlineStr">
        <is>
          <t>2569-05-15</t>
        </is>
      </c>
      <c r="C2" s="6" t="inlineStr">
        <is>
          <t>V-001</t>
        </is>
      </c>
      <c r="D2" s="6" t="inlineStr">
        <is>
          <t>ส.เจริญชัย ค้าวัสดุ</t>
        </is>
      </c>
      <c r="E2" s="10" t="n">
        <v>32897.2</v>
      </c>
      <c r="F2" s="10" t="n">
        <v>2302.8</v>
      </c>
      <c r="G2" s="10" t="n">
        <v>35200</v>
      </c>
      <c r="H2" s="6" t="n">
        <v>30</v>
      </c>
      <c r="I2" s="6" t="inlineStr">
        <is>
          <t>2569-06-14</t>
        </is>
      </c>
      <c r="J2" s="6" t="inlineStr">
        <is>
          <t>PO-2569-0142</t>
        </is>
      </c>
      <c r="K2" s="6" t="inlineStr">
        <is>
          <t>OV</t>
        </is>
      </c>
      <c r="L2" s="6" t="inlineStr">
        <is>
          <t>pending</t>
        </is>
      </c>
      <c r="M2" s="6" t="inlineStr"/>
      <c r="N2" s="10" t="n">
        <v>0</v>
      </c>
    </row>
    <row r="3">
      <c r="A3" s="6" t="inlineStr">
        <is>
          <t>INV2569-002</t>
        </is>
      </c>
      <c r="B3" s="6" t="inlineStr">
        <is>
          <t>2569-05-20</t>
        </is>
      </c>
      <c r="C3" s="6" t="inlineStr">
        <is>
          <t>V-002</t>
        </is>
      </c>
      <c r="D3" s="6" t="inlineStr">
        <is>
          <t>บ้านช้าง</t>
        </is>
      </c>
      <c r="E3" s="10" t="n">
        <v>11682.24</v>
      </c>
      <c r="F3" s="10" t="n">
        <v>817.76</v>
      </c>
      <c r="G3" s="10" t="n">
        <v>12500</v>
      </c>
      <c r="H3" s="6" t="n">
        <v>15</v>
      </c>
      <c r="I3" s="6" t="inlineStr">
        <is>
          <t>2569-06-04</t>
        </is>
      </c>
      <c r="J3" s="6" t="inlineStr">
        <is>
          <t>PO-2569-0143</t>
        </is>
      </c>
      <c r="K3" s="6" t="inlineStr">
        <is>
          <t>WW</t>
        </is>
      </c>
      <c r="L3" s="6" t="inlineStr">
        <is>
          <t>pending</t>
        </is>
      </c>
      <c r="M3" s="6" t="inlineStr"/>
      <c r="N3" s="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 ht="28" customHeight="1">
      <c r="A1" s="9" t="inlineStr">
        <is>
          <t>po_no</t>
        </is>
      </c>
      <c r="B1" s="9" t="inlineStr">
        <is>
          <t>po_date</t>
        </is>
      </c>
      <c r="C1" s="9" t="inlineStr">
        <is>
          <t>vendor_id</t>
        </is>
      </c>
      <c r="D1" s="9" t="inlineStr">
        <is>
          <t>vendor_name</t>
        </is>
      </c>
      <c r="E1" s="9" t="inlineStr">
        <is>
          <t>project</t>
        </is>
      </c>
      <c r="F1" s="9" t="inlineStr">
        <is>
          <t>plot</t>
        </is>
      </c>
      <c r="G1" s="9" t="inlineStr">
        <is>
          <t>total_amount</t>
        </is>
      </c>
      <c r="H1" s="9" t="inlineStr">
        <is>
          <t>received_amount</t>
        </is>
      </c>
      <c r="I1" s="9" t="inlineStr">
        <is>
          <t>paid_amount</t>
        </is>
      </c>
      <c r="J1" s="9" t="inlineStr">
        <is>
          <t>status</t>
        </is>
      </c>
      <c r="K1" s="9" t="inlineStr">
        <is>
          <t>notes</t>
        </is>
      </c>
    </row>
    <row r="2">
      <c r="A2" s="6" t="inlineStr">
        <is>
          <t>PO-2569-0142</t>
        </is>
      </c>
      <c r="B2" s="6" t="inlineStr">
        <is>
          <t>2569-05-15</t>
        </is>
      </c>
      <c r="C2" s="6" t="inlineStr">
        <is>
          <t>V-001</t>
        </is>
      </c>
      <c r="D2" s="6" t="inlineStr">
        <is>
          <t>ส.เจริญชัย ค้าวัสดุ</t>
        </is>
      </c>
      <c r="E2" s="6" t="inlineStr">
        <is>
          <t>OV</t>
        </is>
      </c>
      <c r="F2" s="6" t="inlineStr">
        <is>
          <t>89/5</t>
        </is>
      </c>
      <c r="G2" s="10" t="n">
        <v>35200</v>
      </c>
      <c r="H2" s="10" t="n">
        <v>35200</v>
      </c>
      <c r="I2" s="10" t="n">
        <v>0</v>
      </c>
      <c r="J2" s="6" t="inlineStr">
        <is>
          <t>received</t>
        </is>
      </c>
      <c r="K2" s="6" t="inlineStr">
        <is>
          <t>เหล็กเส้น 12 มม.</t>
        </is>
      </c>
    </row>
    <row r="3">
      <c r="A3" s="6" t="inlineStr">
        <is>
          <t>PO-2569-0143</t>
        </is>
      </c>
      <c r="B3" s="6" t="inlineStr">
        <is>
          <t>2569-05-20</t>
        </is>
      </c>
      <c r="C3" s="6" t="inlineStr">
        <is>
          <t>V-002</t>
        </is>
      </c>
      <c r="D3" s="6" t="inlineStr">
        <is>
          <t>บ้านช้าง</t>
        </is>
      </c>
      <c r="E3" s="6" t="inlineStr">
        <is>
          <t>WW</t>
        </is>
      </c>
      <c r="F3" s="6" t="inlineStr">
        <is>
          <t>5/89</t>
        </is>
      </c>
      <c r="G3" s="10" t="n">
        <v>12500</v>
      </c>
      <c r="H3" s="10" t="n">
        <v>12500</v>
      </c>
      <c r="I3" s="10" t="n">
        <v>0</v>
      </c>
      <c r="J3" s="6" t="inlineStr">
        <is>
          <t>received</t>
        </is>
      </c>
      <c r="K3" s="6" t="inlineStr">
        <is>
          <t>กระเบื้อง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28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8" customWidth="1" min="11" max="11"/>
    <col width="8" customWidth="1" min="12" max="12"/>
    <col width="14" customWidth="1" min="13" max="13"/>
    <col width="13" customWidth="1" min="14" max="14"/>
    <col width="14" customWidth="1" min="15" max="15"/>
    <col width="36" customWidth="1" min="16" max="16"/>
    <col width="18" customWidth="1" min="17" max="17"/>
    <col width="12" customWidth="1" min="18" max="18"/>
  </cols>
  <sheetData>
    <row r="1" ht="28" customHeight="1">
      <c r="A1" s="9" t="inlineStr">
        <is>
          <t>packet_id</t>
        </is>
      </c>
      <c r="B1" s="9" t="inlineStr">
        <is>
          <t>billing_date</t>
        </is>
      </c>
      <c r="C1" s="9" t="inlineStr">
        <is>
          <t>vendor_id</t>
        </is>
      </c>
      <c r="D1" s="9" t="inlineStr">
        <is>
          <t>vendor_name</t>
        </is>
      </c>
      <c r="E1" s="9" t="inlineStr">
        <is>
          <t>invoice_count</t>
        </is>
      </c>
      <c r="F1" s="9" t="inlineStr">
        <is>
          <t>total_before_vat</t>
        </is>
      </c>
      <c r="G1" s="9" t="inlineStr">
        <is>
          <t>vat_7</t>
        </is>
      </c>
      <c r="H1" s="9" t="inlineStr">
        <is>
          <t>total_amount</t>
        </is>
      </c>
      <c r="I1" s="9" t="inlineStr">
        <is>
          <t>wht_3</t>
        </is>
      </c>
      <c r="J1" s="9" t="inlineStr">
        <is>
          <t>net_payable</t>
        </is>
      </c>
      <c r="K1" s="9" t="inlineStr">
        <is>
          <t>po_match_count</t>
        </is>
      </c>
      <c r="L1" s="9" t="inlineStr">
        <is>
          <t>unmatched_count</t>
        </is>
      </c>
      <c r="M1" s="9" t="inlineStr">
        <is>
          <t>status</t>
        </is>
      </c>
      <c r="N1" s="9" t="inlineStr">
        <is>
          <t>cheque_due_date</t>
        </is>
      </c>
      <c r="O1" s="9" t="inlineStr">
        <is>
          <t>cheque_no</t>
        </is>
      </c>
      <c r="P1" s="9" t="inlineStr">
        <is>
          <t>drive_folder</t>
        </is>
      </c>
      <c r="Q1" s="9" t="inlineStr">
        <is>
          <t>created_at</t>
        </is>
      </c>
      <c r="R1" s="9" t="inlineStr">
        <is>
          <t>created_by</t>
        </is>
      </c>
    </row>
    <row r="2">
      <c r="A2" s="6" t="inlineStr">
        <is>
          <t>VB-25690505-001</t>
        </is>
      </c>
      <c r="B2" s="6" t="inlineStr">
        <is>
          <t>2569-05-05</t>
        </is>
      </c>
      <c r="C2" s="6" t="inlineStr">
        <is>
          <t>V-001</t>
        </is>
      </c>
      <c r="D2" s="6" t="inlineStr">
        <is>
          <t>บ.ส.เจริญชัยค้าวัสดุก่อสร้าง</t>
        </is>
      </c>
      <c r="E2" s="6" t="n">
        <v>5</v>
      </c>
      <c r="F2" s="10" t="n">
        <v>322803</v>
      </c>
      <c r="G2" s="10" t="n">
        <v>22596.21</v>
      </c>
      <c r="H2" s="10" t="n">
        <v>345399.21</v>
      </c>
      <c r="I2" s="10" t="n">
        <v>9684.09</v>
      </c>
      <c r="J2" s="10" t="n">
        <v>335715.12</v>
      </c>
      <c r="K2" s="6" t="n">
        <v>5</v>
      </c>
      <c r="L2" s="6" t="n">
        <v>0</v>
      </c>
      <c r="M2" s="6" t="inlineStr">
        <is>
          <t>approved</t>
        </is>
      </c>
      <c r="N2" s="6" t="inlineStr">
        <is>
          <t>2569-06-05</t>
        </is>
      </c>
      <c r="O2" s="6" t="inlineStr"/>
      <c r="P2" s="6" t="inlineStr"/>
      <c r="Q2" s="6" t="inlineStr">
        <is>
          <t>2569-05-05 14:32</t>
        </is>
      </c>
      <c r="R2" s="6" t="inlineStr">
        <is>
          <t>Claude</t>
        </is>
      </c>
    </row>
    <row r="3">
      <c r="A3" s="6" t="inlineStr">
        <is>
          <t>VB-25690505-002</t>
        </is>
      </c>
      <c r="B3" s="6" t="inlineStr">
        <is>
          <t>2569-05-05</t>
        </is>
      </c>
      <c r="C3" s="6" t="inlineStr">
        <is>
          <t>V-002</t>
        </is>
      </c>
      <c r="D3" s="6" t="inlineStr">
        <is>
          <t>บ.สุทธิพงศ์ค้าวัสดุก่อสร้าง</t>
        </is>
      </c>
      <c r="E3" s="6" t="n">
        <v>3</v>
      </c>
      <c r="F3" s="10" t="n">
        <v>185700</v>
      </c>
      <c r="G3" s="10" t="n">
        <v>12999</v>
      </c>
      <c r="H3" s="10" t="n">
        <v>198699</v>
      </c>
      <c r="I3" s="10" t="n">
        <v>5571</v>
      </c>
      <c r="J3" s="10" t="n">
        <v>193128</v>
      </c>
      <c r="K3" s="6" t="n">
        <v>3</v>
      </c>
      <c r="L3" s="6" t="n">
        <v>0</v>
      </c>
      <c r="M3" s="6" t="inlineStr">
        <is>
          <t>approved</t>
        </is>
      </c>
      <c r="N3" s="6" t="inlineStr">
        <is>
          <t>2569-06-05</t>
        </is>
      </c>
      <c r="O3" s="6" t="inlineStr"/>
      <c r="P3" s="6" t="inlineStr"/>
      <c r="Q3" s="6" t="inlineStr">
        <is>
          <t>2569-05-05 15:10</t>
        </is>
      </c>
      <c r="R3" s="6" t="inlineStr">
        <is>
          <t>Claude</t>
        </is>
      </c>
    </row>
    <row r="4">
      <c r="A4" s="6" t="inlineStr">
        <is>
          <t>VB-25690505-003</t>
        </is>
      </c>
      <c r="B4" s="6" t="inlineStr">
        <is>
          <t>2569-05-05</t>
        </is>
      </c>
      <c r="C4" s="6" t="inlineStr">
        <is>
          <t>V-005</t>
        </is>
      </c>
      <c r="D4" s="6" t="inlineStr">
        <is>
          <t>บ.ชลบุรีอึ้งย่งล้ง จำกัด</t>
        </is>
      </c>
      <c r="E4" s="6" t="n">
        <v>2</v>
      </c>
      <c r="F4" s="10" t="n">
        <v>198618.2</v>
      </c>
      <c r="G4" s="10" t="n">
        <v>13903.27</v>
      </c>
      <c r="H4" s="10" t="n">
        <v>212521.47</v>
      </c>
      <c r="I4" s="10" t="n">
        <v>5958.55</v>
      </c>
      <c r="J4" s="10" t="n">
        <v>206562.92</v>
      </c>
      <c r="K4" s="6" t="n">
        <v>2</v>
      </c>
      <c r="L4" s="6" t="n">
        <v>0</v>
      </c>
      <c r="M4" s="6" t="inlineStr">
        <is>
          <t>approved</t>
        </is>
      </c>
      <c r="N4" s="6" t="inlineStr">
        <is>
          <t>2569-06-05</t>
        </is>
      </c>
      <c r="O4" s="6" t="inlineStr"/>
      <c r="P4" s="6" t="inlineStr"/>
      <c r="Q4" s="6" t="inlineStr">
        <is>
          <t>2569-05-05 15:45</t>
        </is>
      </c>
      <c r="R4" s="6" t="inlineStr">
        <is>
          <t>Claude</t>
        </is>
      </c>
    </row>
    <row r="5">
      <c r="A5" s="6" t="inlineStr">
        <is>
          <t>VB-25690505-004</t>
        </is>
      </c>
      <c r="B5" s="6" t="inlineStr">
        <is>
          <t>2569-05-05</t>
        </is>
      </c>
      <c r="C5" s="6" t="inlineStr">
        <is>
          <t>V-008</t>
        </is>
      </c>
      <c r="D5" s="6" t="inlineStr">
        <is>
          <t>หจก.พี.เจ.ฮาร์ดแวร์ (2008)</t>
        </is>
      </c>
      <c r="E5" s="6" t="n">
        <v>4</v>
      </c>
      <c r="F5" s="10" t="n">
        <v>165000</v>
      </c>
      <c r="G5" s="10" t="n">
        <v>11550</v>
      </c>
      <c r="H5" s="10" t="n">
        <v>176550</v>
      </c>
      <c r="I5" s="10" t="n">
        <v>4950</v>
      </c>
      <c r="J5" s="10" t="n">
        <v>171600</v>
      </c>
      <c r="K5" s="6" t="n">
        <v>3</v>
      </c>
      <c r="L5" s="6" t="n">
        <v>1</v>
      </c>
      <c r="M5" s="6" t="inlineStr">
        <is>
          <t>review</t>
        </is>
      </c>
      <c r="N5" s="6" t="inlineStr">
        <is>
          <t>2569-06-05</t>
        </is>
      </c>
      <c r="O5" s="6" t="inlineStr"/>
      <c r="P5" s="6" t="inlineStr"/>
      <c r="Q5" s="6" t="inlineStr">
        <is>
          <t>2569-05-05 16:20</t>
        </is>
      </c>
      <c r="R5" s="6" t="inlineStr">
        <is>
          <t>Claude</t>
        </is>
      </c>
    </row>
    <row r="6">
      <c r="A6" s="6" t="inlineStr">
        <is>
          <t>VB-25690505-005</t>
        </is>
      </c>
      <c r="B6" s="6" t="inlineStr">
        <is>
          <t>2569-05-05</t>
        </is>
      </c>
      <c r="C6" s="6" t="inlineStr">
        <is>
          <t>V-011</t>
        </is>
      </c>
      <c r="D6" s="6" t="inlineStr">
        <is>
          <t>บ.คุงเจริญโลหะกิจ จำกัด</t>
        </is>
      </c>
      <c r="E6" s="6" t="n">
        <v>1</v>
      </c>
      <c r="F6" s="10" t="n">
        <v>99149.58</v>
      </c>
      <c r="G6" s="10" t="n">
        <v>6940.47</v>
      </c>
      <c r="H6" s="10" t="n">
        <v>106090.05</v>
      </c>
      <c r="I6" s="10" t="n">
        <v>2974.49</v>
      </c>
      <c r="J6" s="10" t="n">
        <v>103115.56</v>
      </c>
      <c r="K6" s="6" t="n">
        <v>1</v>
      </c>
      <c r="L6" s="6" t="n">
        <v>0</v>
      </c>
      <c r="M6" s="6" t="inlineStr">
        <is>
          <t>approved</t>
        </is>
      </c>
      <c r="N6" s="6" t="inlineStr">
        <is>
          <t>2569-06-05</t>
        </is>
      </c>
      <c r="O6" s="6" t="inlineStr"/>
      <c r="P6" s="6" t="inlineStr"/>
      <c r="Q6" s="6" t="inlineStr">
        <is>
          <t>2569-05-05 16:55</t>
        </is>
      </c>
      <c r="R6" s="6" t="inlineStr">
        <is>
          <t>Claude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4" customWidth="1" min="4" max="4"/>
    <col width="10" customWidth="1" min="5" max="5"/>
    <col width="14" customWidth="1" min="6" max="6"/>
    <col width="18" customWidth="1" min="7" max="7"/>
    <col width="12" customWidth="1" min="8" max="8"/>
    <col width="13" customWidth="1" min="9" max="9"/>
    <col width="13" customWidth="1" min="10" max="10"/>
    <col width="30" customWidth="1" min="11" max="11"/>
  </cols>
  <sheetData>
    <row r="1" ht="28" customHeight="1">
      <c r="A1" s="9" t="inlineStr">
        <is>
          <t>due_date</t>
        </is>
      </c>
      <c r="B1" s="9" t="inlineStr">
        <is>
          <t>vendor_id</t>
        </is>
      </c>
      <c r="C1" s="9" t="inlineStr">
        <is>
          <t>vendor_name</t>
        </is>
      </c>
      <c r="D1" s="9" t="inlineStr">
        <is>
          <t>amount</t>
        </is>
      </c>
      <c r="E1" s="9" t="inlineStr">
        <is>
          <t>bank</t>
        </is>
      </c>
      <c r="F1" s="9" t="inlineStr">
        <is>
          <t>cheque_no</t>
        </is>
      </c>
      <c r="G1" s="9" t="inlineStr">
        <is>
          <t>packet_ref</t>
        </is>
      </c>
      <c r="H1" s="9" t="inlineStr">
        <is>
          <t>status</t>
        </is>
      </c>
      <c r="I1" s="9" t="inlineStr">
        <is>
          <t>drawn_date</t>
        </is>
      </c>
      <c r="J1" s="9" t="inlineStr">
        <is>
          <t>cleared_date</t>
        </is>
      </c>
      <c r="K1" s="9" t="inlineStr">
        <is>
          <t>notes</t>
        </is>
      </c>
    </row>
    <row r="2">
      <c r="A2" s="6" t="inlineStr">
        <is>
          <t>2569-06-05</t>
        </is>
      </c>
      <c r="B2" s="6" t="inlineStr">
        <is>
          <t>V-001</t>
        </is>
      </c>
      <c r="C2" s="6" t="inlineStr">
        <is>
          <t>บ.ส.เจริญชัยค้าวัสดุก่อสร้าง</t>
        </is>
      </c>
      <c r="D2" s="10" t="n">
        <v>335715.12</v>
      </c>
      <c r="E2" s="6" t="inlineStr">
        <is>
          <t>SCB</t>
        </is>
      </c>
      <c r="F2" s="6" t="inlineStr"/>
      <c r="G2" s="6" t="inlineStr">
        <is>
          <t>VB-25690505-001</t>
        </is>
      </c>
      <c r="H2" s="6" t="inlineStr">
        <is>
          <t>pending</t>
        </is>
      </c>
      <c r="I2" s="6" t="inlineStr"/>
      <c r="J2" s="6" t="inlineStr"/>
      <c r="K2" s="6" t="inlineStr"/>
    </row>
    <row r="3">
      <c r="A3" s="6" t="inlineStr">
        <is>
          <t>2569-06-05</t>
        </is>
      </c>
      <c r="B3" s="6" t="inlineStr">
        <is>
          <t>V-002</t>
        </is>
      </c>
      <c r="C3" s="6" t="inlineStr">
        <is>
          <t>บ.สุทธิพงศ์ค้าวัสดุก่อสร้าง</t>
        </is>
      </c>
      <c r="D3" s="10" t="n">
        <v>193128</v>
      </c>
      <c r="E3" s="6" t="inlineStr">
        <is>
          <t>SCB</t>
        </is>
      </c>
      <c r="F3" s="6" t="inlineStr"/>
      <c r="G3" s="6" t="inlineStr">
        <is>
          <t>VB-25690505-002</t>
        </is>
      </c>
      <c r="H3" s="6" t="inlineStr">
        <is>
          <t>pending</t>
        </is>
      </c>
      <c r="I3" s="6" t="inlineStr"/>
      <c r="J3" s="6" t="inlineStr"/>
      <c r="K3" s="6" t="inlineStr"/>
    </row>
    <row r="4">
      <c r="A4" s="6" t="inlineStr">
        <is>
          <t>2569-06-05</t>
        </is>
      </c>
      <c r="B4" s="6" t="inlineStr">
        <is>
          <t>V-005</t>
        </is>
      </c>
      <c r="C4" s="6" t="inlineStr">
        <is>
          <t>บ.ชลบุรีอึ้งย่งล้ง จำกัด</t>
        </is>
      </c>
      <c r="D4" s="10" t="n">
        <v>206562.92</v>
      </c>
      <c r="E4" s="6" t="inlineStr">
        <is>
          <t>SCB</t>
        </is>
      </c>
      <c r="F4" s="6" t="inlineStr"/>
      <c r="G4" s="6" t="inlineStr">
        <is>
          <t>VB-25690505-003</t>
        </is>
      </c>
      <c r="H4" s="6" t="inlineStr">
        <is>
          <t>pending</t>
        </is>
      </c>
      <c r="I4" s="6" t="inlineStr"/>
      <c r="J4" s="6" t="inlineStr"/>
      <c r="K4" s="6" t="inlineStr"/>
    </row>
    <row r="5">
      <c r="A5" s="6" t="inlineStr">
        <is>
          <t>2569-06-05</t>
        </is>
      </c>
      <c r="B5" s="6" t="inlineStr">
        <is>
          <t>V-008</t>
        </is>
      </c>
      <c r="C5" s="6" t="inlineStr">
        <is>
          <t>หจก.พี.เจ.ฮาร์ดแวร์ (2008)</t>
        </is>
      </c>
      <c r="D5" s="10" t="n">
        <v>171600</v>
      </c>
      <c r="E5" s="6" t="inlineStr">
        <is>
          <t>SCB</t>
        </is>
      </c>
      <c r="F5" s="6" t="inlineStr"/>
      <c r="G5" s="6" t="inlineStr">
        <is>
          <t>VB-25690505-004</t>
        </is>
      </c>
      <c r="H5" s="6" t="inlineStr">
        <is>
          <t>review</t>
        </is>
      </c>
      <c r="I5" s="6" t="inlineStr"/>
      <c r="J5" s="6" t="inlineStr"/>
      <c r="K5" s="6" t="inlineStr">
        <is>
          <t>รอ resolve discrepancy</t>
        </is>
      </c>
    </row>
    <row r="6">
      <c r="A6" s="6" t="inlineStr">
        <is>
          <t>2569-06-05</t>
        </is>
      </c>
      <c r="B6" s="6" t="inlineStr">
        <is>
          <t>V-011</t>
        </is>
      </c>
      <c r="C6" s="6" t="inlineStr">
        <is>
          <t>บ.คุงเจริญโลหะกิจ จำกัด</t>
        </is>
      </c>
      <c r="D6" s="10" t="n">
        <v>103115.56</v>
      </c>
      <c r="E6" s="6" t="inlineStr">
        <is>
          <t>SCB</t>
        </is>
      </c>
      <c r="F6" s="6" t="inlineStr"/>
      <c r="G6" s="6" t="inlineStr">
        <is>
          <t>VB-25690505-005</t>
        </is>
      </c>
      <c r="H6" s="6" t="inlineStr">
        <is>
          <t>pending</t>
        </is>
      </c>
      <c r="I6" s="6" t="inlineStr"/>
      <c r="J6" s="6" t="inlineStr"/>
      <c r="K6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14" customWidth="1" min="4" max="4"/>
    <col width="16" customWidth="1" min="5" max="5"/>
    <col width="18" customWidth="1" min="6" max="6"/>
    <col width="50" customWidth="1" min="7" max="7"/>
    <col width="14" customWidth="1" min="8" max="8"/>
    <col width="10" customWidth="1" min="9" max="9"/>
    <col width="13" customWidth="1" min="10" max="10"/>
    <col width="12" customWidth="1" min="11" max="11"/>
    <col width="36" customWidth="1" min="12" max="12"/>
  </cols>
  <sheetData>
    <row r="1" ht="28" customHeight="1">
      <c r="A1" s="9" t="inlineStr">
        <is>
          <t>date_found</t>
        </is>
      </c>
      <c r="B1" s="9" t="inlineStr">
        <is>
          <t>packet_id</t>
        </is>
      </c>
      <c r="C1" s="9" t="inlineStr">
        <is>
          <t>vendor_name</t>
        </is>
      </c>
      <c r="D1" s="9" t="inlineStr">
        <is>
          <t>document_type</t>
        </is>
      </c>
      <c r="E1" s="9" t="inlineStr">
        <is>
          <t>ref_no</t>
        </is>
      </c>
      <c r="F1" s="9" t="inlineStr">
        <is>
          <t>issue_type</t>
        </is>
      </c>
      <c r="G1" s="9" t="inlineStr">
        <is>
          <t>description</t>
        </is>
      </c>
      <c r="H1" s="9" t="inlineStr">
        <is>
          <t>amount_impact</t>
        </is>
      </c>
      <c r="I1" s="9" t="inlineStr">
        <is>
          <t>resolved</t>
        </is>
      </c>
      <c r="J1" s="9" t="inlineStr">
        <is>
          <t>resolved_date</t>
        </is>
      </c>
      <c r="K1" s="9" t="inlineStr">
        <is>
          <t>resolved_by</t>
        </is>
      </c>
      <c r="L1" s="9" t="inlineStr">
        <is>
          <t>resolution</t>
        </is>
      </c>
    </row>
    <row r="2">
      <c r="A2" s="6" t="inlineStr">
        <is>
          <t>2569-05-05</t>
        </is>
      </c>
      <c r="B2" s="6" t="inlineStr">
        <is>
          <t>VB-25690505-004</t>
        </is>
      </c>
      <c r="C2" s="6" t="inlineStr">
        <is>
          <t>หจก.พี.เจ.ฮาร์ดแวร์ (2008)</t>
        </is>
      </c>
      <c r="D2" s="6" t="inlineStr">
        <is>
          <t>Invoice</t>
        </is>
      </c>
      <c r="E2" s="6" t="inlineStr">
        <is>
          <t>INV-PJ-2569-104</t>
        </is>
      </c>
      <c r="F2" s="6" t="inlineStr">
        <is>
          <t>qty_mismatch</t>
        </is>
      </c>
      <c r="G2" s="6" t="inlineStr">
        <is>
          <t>บิล 100 ท่อน แต่ GR รับจริง 98 ท่อน — vendor ลืมหัก 2 ท่อน</t>
        </is>
      </c>
      <c r="H2" s="10" t="n">
        <v>-1070</v>
      </c>
      <c r="I2" s="6" t="inlineStr">
        <is>
          <t>no</t>
        </is>
      </c>
      <c r="J2" s="6" t="inlineStr"/>
      <c r="K2" s="6" t="inlineStr"/>
      <c r="L2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4" customWidth="1" min="5" max="5"/>
    <col width="14" customWidth="1" min="6" max="6"/>
    <col width="36" customWidth="1" min="7" max="7"/>
    <col width="10" customWidth="1" min="8" max="8"/>
    <col width="18" customWidth="1" min="9" max="9"/>
    <col width="12" customWidth="1" min="10" max="10"/>
  </cols>
  <sheetData>
    <row r="1" ht="28" customHeight="1">
      <c r="A1" s="9" t="inlineStr">
        <is>
          <t>entry_no</t>
        </is>
      </c>
      <c r="B1" s="9" t="inlineStr">
        <is>
          <t>date</t>
        </is>
      </c>
      <c r="C1" s="9" t="inlineStr">
        <is>
          <t>account_code</t>
        </is>
      </c>
      <c r="D1" s="9" t="inlineStr">
        <is>
          <t>account_name</t>
        </is>
      </c>
      <c r="E1" s="9" t="inlineStr">
        <is>
          <t>debit</t>
        </is>
      </c>
      <c r="F1" s="9" t="inlineStr">
        <is>
          <t>credit</t>
        </is>
      </c>
      <c r="G1" s="9" t="inlineStr">
        <is>
          <t>description</t>
        </is>
      </c>
      <c r="H1" s="9" t="inlineStr">
        <is>
          <t>project</t>
        </is>
      </c>
      <c r="I1" s="9" t="inlineStr">
        <is>
          <t>ref_doc</t>
        </is>
      </c>
      <c r="J1" s="9" t="inlineStr">
        <is>
          <t>created_by</t>
        </is>
      </c>
    </row>
    <row r="2">
      <c r="A2" s="6" t="inlineStr">
        <is>
          <t>JE-0001</t>
        </is>
      </c>
      <c r="B2" s="6" t="inlineStr">
        <is>
          <t>2569-05-25</t>
        </is>
      </c>
      <c r="C2" s="6" t="inlineStr">
        <is>
          <t>5101</t>
        </is>
      </c>
      <c r="D2" s="6" t="inlineStr">
        <is>
          <t>ต้นทุนขาย-วัสดุก่อสร้าง</t>
        </is>
      </c>
      <c r="E2" s="10" t="n">
        <v>32897.2</v>
      </c>
      <c r="F2" s="10" t="n">
        <v>0</v>
      </c>
      <c r="G2" s="6" t="inlineStr">
        <is>
          <t>รับเหล็กเส้น PO-2569-0142</t>
        </is>
      </c>
      <c r="H2" s="6" t="inlineStr">
        <is>
          <t>OV</t>
        </is>
      </c>
      <c r="I2" s="6" t="inlineStr">
        <is>
          <t>PO-2569-0142</t>
        </is>
      </c>
      <c r="J2" s="6" t="inlineStr">
        <is>
          <t>Ice</t>
        </is>
      </c>
    </row>
    <row r="3">
      <c r="A3" s="6" t="inlineStr">
        <is>
          <t>JE-0001</t>
        </is>
      </c>
      <c r="B3" s="6" t="inlineStr">
        <is>
          <t>2569-05-25</t>
        </is>
      </c>
      <c r="C3" s="6" t="inlineStr">
        <is>
          <t>1153</t>
        </is>
      </c>
      <c r="D3" s="6" t="inlineStr">
        <is>
          <t>ภาษีซื้อ</t>
        </is>
      </c>
      <c r="E3" s="10" t="n">
        <v>2302.8</v>
      </c>
      <c r="F3" s="10" t="n">
        <v>0</v>
      </c>
      <c r="G3" s="6" t="inlineStr">
        <is>
          <t>VAT 7% PO-2569-0142</t>
        </is>
      </c>
      <c r="H3" s="6" t="inlineStr">
        <is>
          <t>OV</t>
        </is>
      </c>
      <c r="I3" s="6" t="inlineStr">
        <is>
          <t>PO-2569-0142</t>
        </is>
      </c>
      <c r="J3" s="6" t="inlineStr">
        <is>
          <t>Ice</t>
        </is>
      </c>
    </row>
    <row r="4">
      <c r="A4" s="6" t="inlineStr">
        <is>
          <t>JE-0001</t>
        </is>
      </c>
      <c r="B4" s="6" t="inlineStr">
        <is>
          <t>2569-05-25</t>
        </is>
      </c>
      <c r="C4" s="6" t="inlineStr">
        <is>
          <t>2101</t>
        </is>
      </c>
      <c r="D4" s="6" t="inlineStr">
        <is>
          <t>เจ้าหนี้การค้า</t>
        </is>
      </c>
      <c r="E4" s="10" t="n">
        <v>0</v>
      </c>
      <c r="F4" s="10" t="n">
        <v>35200</v>
      </c>
      <c r="G4" s="6" t="inlineStr">
        <is>
          <t>ตั้งเจ้าหนี้ ส.เจริญชัย</t>
        </is>
      </c>
      <c r="H4" s="6" t="inlineStr">
        <is>
          <t>OV</t>
        </is>
      </c>
      <c r="I4" s="6" t="inlineStr">
        <is>
          <t>PO-2569-0142</t>
        </is>
      </c>
      <c r="J4" s="6" t="inlineStr">
        <is>
          <t>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4" customWidth="1" min="4" max="4"/>
    <col width="16" customWidth="1" min="5" max="5"/>
  </cols>
  <sheetData>
    <row r="1" ht="28" customHeight="1">
      <c r="A1" s="9" t="inlineStr">
        <is>
          <t>account_code</t>
        </is>
      </c>
      <c r="B1" s="9" t="inlineStr">
        <is>
          <t>account_name</t>
        </is>
      </c>
      <c r="C1" s="9" t="inlineStr">
        <is>
          <t>type</t>
        </is>
      </c>
      <c r="D1" s="9" t="inlineStr">
        <is>
          <t>parent_code</t>
        </is>
      </c>
      <c r="E1" s="9" t="inlineStr">
        <is>
          <t>normal_balance</t>
        </is>
      </c>
    </row>
    <row r="2">
      <c r="A2" s="6" t="inlineStr">
        <is>
          <t>1101</t>
        </is>
      </c>
      <c r="B2" s="6" t="inlineStr">
        <is>
          <t>เงินสดในมือ</t>
        </is>
      </c>
      <c r="C2" s="6" t="inlineStr">
        <is>
          <t>Asset</t>
        </is>
      </c>
      <c r="D2" s="6" t="inlineStr">
        <is>
          <t>1100</t>
        </is>
      </c>
      <c r="E2" s="6" t="inlineStr">
        <is>
          <t>Debit</t>
        </is>
      </c>
    </row>
    <row r="3">
      <c r="A3" s="6" t="inlineStr">
        <is>
          <t>1111</t>
        </is>
      </c>
      <c r="B3" s="6" t="inlineStr">
        <is>
          <t>ธนาคาร SCB กระแสรายวัน</t>
        </is>
      </c>
      <c r="C3" s="6" t="inlineStr">
        <is>
          <t>Asset</t>
        </is>
      </c>
      <c r="D3" s="6" t="inlineStr">
        <is>
          <t>1110</t>
        </is>
      </c>
      <c r="E3" s="6" t="inlineStr">
        <is>
          <t>Debit</t>
        </is>
      </c>
    </row>
    <row r="4">
      <c r="A4" s="6" t="inlineStr">
        <is>
          <t>1112</t>
        </is>
      </c>
      <c r="B4" s="6" t="inlineStr">
        <is>
          <t>ธนาคาร SCB ออมทรัพย์</t>
        </is>
      </c>
      <c r="C4" s="6" t="inlineStr">
        <is>
          <t>Asset</t>
        </is>
      </c>
      <c r="D4" s="6" t="inlineStr">
        <is>
          <t>1110</t>
        </is>
      </c>
      <c r="E4" s="6" t="inlineStr">
        <is>
          <t>Debit</t>
        </is>
      </c>
    </row>
    <row r="5">
      <c r="A5" s="6" t="inlineStr">
        <is>
          <t>1113</t>
        </is>
      </c>
      <c r="B5" s="6" t="inlineStr">
        <is>
          <t>ธนาคาร K+ Kbank</t>
        </is>
      </c>
      <c r="C5" s="6" t="inlineStr">
        <is>
          <t>Asset</t>
        </is>
      </c>
      <c r="D5" s="6" t="inlineStr">
        <is>
          <t>1110</t>
        </is>
      </c>
      <c r="E5" s="6" t="inlineStr">
        <is>
          <t>Debit</t>
        </is>
      </c>
    </row>
    <row r="6">
      <c r="A6" s="6" t="inlineStr">
        <is>
          <t>1201</t>
        </is>
      </c>
      <c r="B6" s="6" t="inlineStr">
        <is>
          <t>ลูกหนี้การค้า</t>
        </is>
      </c>
      <c r="C6" s="6" t="inlineStr">
        <is>
          <t>Asset</t>
        </is>
      </c>
      <c r="D6" s="6" t="inlineStr">
        <is>
          <t>1200</t>
        </is>
      </c>
      <c r="E6" s="6" t="inlineStr">
        <is>
          <t>Debit</t>
        </is>
      </c>
    </row>
    <row r="7">
      <c r="A7" s="6" t="inlineStr">
        <is>
          <t>1211</t>
        </is>
      </c>
      <c r="B7" s="6" t="inlineStr">
        <is>
          <t>ลูกหนี้เงินจอง</t>
        </is>
      </c>
      <c r="C7" s="6" t="inlineStr">
        <is>
          <t>Asset</t>
        </is>
      </c>
      <c r="D7" s="6" t="inlineStr">
        <is>
          <t>1200</t>
        </is>
      </c>
      <c r="E7" s="6" t="inlineStr">
        <is>
          <t>Debit</t>
        </is>
      </c>
    </row>
    <row r="8">
      <c r="A8" s="6" t="inlineStr">
        <is>
          <t>1212</t>
        </is>
      </c>
      <c r="B8" s="6" t="inlineStr">
        <is>
          <t>ลูกหนี้เงินดาวน์</t>
        </is>
      </c>
      <c r="C8" s="6" t="inlineStr">
        <is>
          <t>Asset</t>
        </is>
      </c>
      <c r="D8" s="6" t="inlineStr">
        <is>
          <t>1200</t>
        </is>
      </c>
      <c r="E8" s="6" t="inlineStr">
        <is>
          <t>Debit</t>
        </is>
      </c>
    </row>
    <row r="9">
      <c r="A9" s="6" t="inlineStr">
        <is>
          <t>1301</t>
        </is>
      </c>
      <c r="B9" s="6" t="inlineStr">
        <is>
          <t>วัสดุก่อสร้างคงเหลือ</t>
        </is>
      </c>
      <c r="C9" s="6" t="inlineStr">
        <is>
          <t>Asset</t>
        </is>
      </c>
      <c r="D9" s="6" t="inlineStr">
        <is>
          <t>1300</t>
        </is>
      </c>
      <c r="E9" s="6" t="inlineStr">
        <is>
          <t>Debit</t>
        </is>
      </c>
    </row>
    <row r="10">
      <c r="A10" s="6" t="inlineStr">
        <is>
          <t>1311</t>
        </is>
      </c>
      <c r="B10" s="6" t="inlineStr">
        <is>
          <t>งานระหว่างทำ (WIP)</t>
        </is>
      </c>
      <c r="C10" s="6" t="inlineStr">
        <is>
          <t>Asset</t>
        </is>
      </c>
      <c r="D10" s="6" t="inlineStr">
        <is>
          <t>1300</t>
        </is>
      </c>
      <c r="E10" s="6" t="inlineStr">
        <is>
          <t>Debit</t>
        </is>
      </c>
    </row>
    <row r="11">
      <c r="A11" s="6" t="inlineStr">
        <is>
          <t>1321</t>
        </is>
      </c>
      <c r="B11" s="6" t="inlineStr">
        <is>
          <t>ที่ดินรอพัฒนา</t>
        </is>
      </c>
      <c r="C11" s="6" t="inlineStr">
        <is>
          <t>Asset</t>
        </is>
      </c>
      <c r="D11" s="6" t="inlineStr">
        <is>
          <t>1300</t>
        </is>
      </c>
      <c r="E11" s="6" t="inlineStr">
        <is>
          <t>Debit</t>
        </is>
      </c>
    </row>
    <row r="12">
      <c r="A12" s="6" t="inlineStr">
        <is>
          <t>1153</t>
        </is>
      </c>
      <c r="B12" s="6" t="inlineStr">
        <is>
          <t>ภาษีซื้อ (Input VAT)</t>
        </is>
      </c>
      <c r="C12" s="6" t="inlineStr">
        <is>
          <t>Asset</t>
        </is>
      </c>
      <c r="D12" s="6" t="inlineStr">
        <is>
          <t>1150</t>
        </is>
      </c>
      <c r="E12" s="6" t="inlineStr">
        <is>
          <t>Debit</t>
        </is>
      </c>
    </row>
    <row r="13">
      <c r="A13" s="6" t="inlineStr">
        <is>
          <t>1401</t>
        </is>
      </c>
      <c r="B13" s="6" t="inlineStr">
        <is>
          <t>อุปกรณ์สำนักงาน</t>
        </is>
      </c>
      <c r="C13" s="6" t="inlineStr">
        <is>
          <t>Asset</t>
        </is>
      </c>
      <c r="D13" s="6" t="inlineStr">
        <is>
          <t>1400</t>
        </is>
      </c>
      <c r="E13" s="6" t="inlineStr">
        <is>
          <t>Debit</t>
        </is>
      </c>
    </row>
    <row r="14">
      <c r="A14" s="6" t="inlineStr">
        <is>
          <t>1411</t>
        </is>
      </c>
      <c r="B14" s="6" t="inlineStr">
        <is>
          <t>ค่าเสื่อมราคาสะสม-อุปกรณ์</t>
        </is>
      </c>
      <c r="C14" s="6" t="inlineStr">
        <is>
          <t>Asset</t>
        </is>
      </c>
      <c r="D14" s="6" t="inlineStr">
        <is>
          <t>1400</t>
        </is>
      </c>
      <c r="E14" s="6" t="inlineStr">
        <is>
          <t>Credit</t>
        </is>
      </c>
    </row>
    <row r="15">
      <c r="A15" s="6" t="inlineStr">
        <is>
          <t>2101</t>
        </is>
      </c>
      <c r="B15" s="6" t="inlineStr">
        <is>
          <t>เจ้าหนี้การค้า</t>
        </is>
      </c>
      <c r="C15" s="6" t="inlineStr">
        <is>
          <t>Liability</t>
        </is>
      </c>
      <c r="D15" s="6" t="inlineStr">
        <is>
          <t>2100</t>
        </is>
      </c>
      <c r="E15" s="6" t="inlineStr">
        <is>
          <t>Credit</t>
        </is>
      </c>
    </row>
    <row r="16">
      <c r="A16" s="6" t="inlineStr">
        <is>
          <t>2111</t>
        </is>
      </c>
      <c r="B16" s="6" t="inlineStr">
        <is>
          <t>เจ้าหนี้-ผู้รับเหมา</t>
        </is>
      </c>
      <c r="C16" s="6" t="inlineStr">
        <is>
          <t>Liability</t>
        </is>
      </c>
      <c r="D16" s="6" t="inlineStr">
        <is>
          <t>2100</t>
        </is>
      </c>
      <c r="E16" s="6" t="inlineStr">
        <is>
          <t>Credit</t>
        </is>
      </c>
    </row>
    <row r="17">
      <c r="A17" s="6" t="inlineStr">
        <is>
          <t>2121</t>
        </is>
      </c>
      <c r="B17" s="6" t="inlineStr">
        <is>
          <t>เงินมัดจำลูกค้า</t>
        </is>
      </c>
      <c r="C17" s="6" t="inlineStr">
        <is>
          <t>Liability</t>
        </is>
      </c>
      <c r="D17" s="6" t="inlineStr">
        <is>
          <t>2120</t>
        </is>
      </c>
      <c r="E17" s="6" t="inlineStr">
        <is>
          <t>Credit</t>
        </is>
      </c>
    </row>
    <row r="18">
      <c r="A18" s="6" t="inlineStr">
        <is>
          <t>2131</t>
        </is>
      </c>
      <c r="B18" s="6" t="inlineStr">
        <is>
          <t>เงินจองรับล่วงหน้า</t>
        </is>
      </c>
      <c r="C18" s="6" t="inlineStr">
        <is>
          <t>Liability</t>
        </is>
      </c>
      <c r="D18" s="6" t="inlineStr">
        <is>
          <t>2130</t>
        </is>
      </c>
      <c r="E18" s="6" t="inlineStr">
        <is>
          <t>Credit</t>
        </is>
      </c>
    </row>
    <row r="19">
      <c r="A19" s="6" t="inlineStr">
        <is>
          <t>2153</t>
        </is>
      </c>
      <c r="B19" s="6" t="inlineStr">
        <is>
          <t>ภาษีขาย (Output VAT)</t>
        </is>
      </c>
      <c r="C19" s="6" t="inlineStr">
        <is>
          <t>Liability</t>
        </is>
      </c>
      <c r="D19" s="6" t="inlineStr">
        <is>
          <t>2150</t>
        </is>
      </c>
      <c r="E19" s="6" t="inlineStr">
        <is>
          <t>Credit</t>
        </is>
      </c>
    </row>
    <row r="20">
      <c r="A20" s="6" t="inlineStr">
        <is>
          <t>2201</t>
        </is>
      </c>
      <c r="B20" s="6" t="inlineStr">
        <is>
          <t>ภาษีค้างจ่าย-ภงด.1</t>
        </is>
      </c>
      <c r="C20" s="6" t="inlineStr">
        <is>
          <t>Liability</t>
        </is>
      </c>
      <c r="D20" s="6" t="inlineStr">
        <is>
          <t>2200</t>
        </is>
      </c>
      <c r="E20" s="6" t="inlineStr">
        <is>
          <t>Credit</t>
        </is>
      </c>
    </row>
    <row r="21">
      <c r="A21" s="6" t="inlineStr">
        <is>
          <t>2211</t>
        </is>
      </c>
      <c r="B21" s="6" t="inlineStr">
        <is>
          <t>ภาษีค้างจ่าย-ภงด.3</t>
        </is>
      </c>
      <c r="C21" s="6" t="inlineStr">
        <is>
          <t>Liability</t>
        </is>
      </c>
      <c r="D21" s="6" t="inlineStr">
        <is>
          <t>2200</t>
        </is>
      </c>
      <c r="E21" s="6" t="inlineStr">
        <is>
          <t>Credit</t>
        </is>
      </c>
    </row>
    <row r="22">
      <c r="A22" s="6" t="inlineStr">
        <is>
          <t>2221</t>
        </is>
      </c>
      <c r="B22" s="6" t="inlineStr">
        <is>
          <t>ภาษีค้างจ่าย-ภงด.53</t>
        </is>
      </c>
      <c r="C22" s="6" t="inlineStr">
        <is>
          <t>Liability</t>
        </is>
      </c>
      <c r="D22" s="6" t="inlineStr">
        <is>
          <t>2200</t>
        </is>
      </c>
      <c r="E22" s="6" t="inlineStr">
        <is>
          <t>Credit</t>
        </is>
      </c>
    </row>
    <row r="23">
      <c r="A23" s="6" t="inlineStr">
        <is>
          <t>2231</t>
        </is>
      </c>
      <c r="B23" s="6" t="inlineStr">
        <is>
          <t>ภาษีค้างจ่าย-ภพ.30</t>
        </is>
      </c>
      <c r="C23" s="6" t="inlineStr">
        <is>
          <t>Liability</t>
        </is>
      </c>
      <c r="D23" s="6" t="inlineStr">
        <is>
          <t>2200</t>
        </is>
      </c>
      <c r="E23" s="6" t="inlineStr">
        <is>
          <t>Credit</t>
        </is>
      </c>
    </row>
    <row r="24">
      <c r="A24" s="6" t="inlineStr">
        <is>
          <t>2241</t>
        </is>
      </c>
      <c r="B24" s="6" t="inlineStr">
        <is>
          <t>ประกันสังคมค้างจ่าย</t>
        </is>
      </c>
      <c r="C24" s="6" t="inlineStr">
        <is>
          <t>Liability</t>
        </is>
      </c>
      <c r="D24" s="6" t="inlineStr">
        <is>
          <t>2200</t>
        </is>
      </c>
      <c r="E24" s="6" t="inlineStr">
        <is>
          <t>Credit</t>
        </is>
      </c>
    </row>
    <row r="25">
      <c r="A25" s="6" t="inlineStr">
        <is>
          <t>2301</t>
        </is>
      </c>
      <c r="B25" s="6" t="inlineStr">
        <is>
          <t>เงินกู้ระยะสั้น</t>
        </is>
      </c>
      <c r="C25" s="6" t="inlineStr">
        <is>
          <t>Liability</t>
        </is>
      </c>
      <c r="D25" s="6" t="inlineStr">
        <is>
          <t>2300</t>
        </is>
      </c>
      <c r="E25" s="6" t="inlineStr">
        <is>
          <t>Credit</t>
        </is>
      </c>
    </row>
    <row r="26">
      <c r="A26" s="6" t="inlineStr">
        <is>
          <t>2401</t>
        </is>
      </c>
      <c r="B26" s="6" t="inlineStr">
        <is>
          <t>เงินกู้ระยะยาว</t>
        </is>
      </c>
      <c r="C26" s="6" t="inlineStr">
        <is>
          <t>Liability</t>
        </is>
      </c>
      <c r="D26" s="6" t="inlineStr">
        <is>
          <t>2400</t>
        </is>
      </c>
      <c r="E26" s="6" t="inlineStr">
        <is>
          <t>Credit</t>
        </is>
      </c>
    </row>
    <row r="27">
      <c r="A27" s="6" t="inlineStr">
        <is>
          <t>3101</t>
        </is>
      </c>
      <c r="B27" s="6" t="inlineStr">
        <is>
          <t>ทุนจดทะเบียน</t>
        </is>
      </c>
      <c r="C27" s="6" t="inlineStr">
        <is>
          <t>Equity</t>
        </is>
      </c>
      <c r="D27" s="6" t="inlineStr">
        <is>
          <t>3100</t>
        </is>
      </c>
      <c r="E27" s="6" t="inlineStr">
        <is>
          <t>Credit</t>
        </is>
      </c>
    </row>
    <row r="28">
      <c r="A28" s="6" t="inlineStr">
        <is>
          <t>3201</t>
        </is>
      </c>
      <c r="B28" s="6" t="inlineStr">
        <is>
          <t>กำไรสะสม</t>
        </is>
      </c>
      <c r="C28" s="6" t="inlineStr">
        <is>
          <t>Equity</t>
        </is>
      </c>
      <c r="D28" s="6" t="inlineStr">
        <is>
          <t>3200</t>
        </is>
      </c>
      <c r="E28" s="6" t="inlineStr">
        <is>
          <t>Credit</t>
        </is>
      </c>
    </row>
    <row r="29">
      <c r="A29" s="6" t="inlineStr">
        <is>
          <t>3301</t>
        </is>
      </c>
      <c r="B29" s="6" t="inlineStr">
        <is>
          <t>กำไรสุทธิประจำปี</t>
        </is>
      </c>
      <c r="C29" s="6" t="inlineStr">
        <is>
          <t>Equity</t>
        </is>
      </c>
      <c r="D29" s="6" t="inlineStr">
        <is>
          <t>3300</t>
        </is>
      </c>
      <c r="E29" s="6" t="inlineStr">
        <is>
          <t>Credit</t>
        </is>
      </c>
    </row>
    <row r="30">
      <c r="A30" s="6" t="inlineStr">
        <is>
          <t>4101</t>
        </is>
      </c>
      <c r="B30" s="6" t="inlineStr">
        <is>
          <t>รายได้จากการขายบ้าน</t>
        </is>
      </c>
      <c r="C30" s="6" t="inlineStr">
        <is>
          <t>Revenue</t>
        </is>
      </c>
      <c r="D30" s="6" t="inlineStr">
        <is>
          <t>4100</t>
        </is>
      </c>
      <c r="E30" s="6" t="inlineStr">
        <is>
          <t>Credit</t>
        </is>
      </c>
    </row>
    <row r="31">
      <c r="A31" s="6" t="inlineStr">
        <is>
          <t>4201</t>
        </is>
      </c>
      <c r="B31" s="6" t="inlineStr">
        <is>
          <t>รายได้ค่าโอน</t>
        </is>
      </c>
      <c r="C31" s="6" t="inlineStr">
        <is>
          <t>Revenue</t>
        </is>
      </c>
      <c r="D31" s="6" t="inlineStr">
        <is>
          <t>4200</t>
        </is>
      </c>
      <c r="E31" s="6" t="inlineStr">
        <is>
          <t>Credit</t>
        </is>
      </c>
    </row>
    <row r="32">
      <c r="A32" s="6" t="inlineStr">
        <is>
          <t>4301</t>
        </is>
      </c>
      <c r="B32" s="6" t="inlineStr">
        <is>
          <t>รายได้อื่นๆ (ดอกเบี้ย)</t>
        </is>
      </c>
      <c r="C32" s="6" t="inlineStr">
        <is>
          <t>Revenue</t>
        </is>
      </c>
      <c r="D32" s="6" t="inlineStr">
        <is>
          <t>4300</t>
        </is>
      </c>
      <c r="E32" s="6" t="inlineStr">
        <is>
          <t>Credit</t>
        </is>
      </c>
    </row>
    <row r="33">
      <c r="A33" s="6" t="inlineStr">
        <is>
          <t>5101</t>
        </is>
      </c>
      <c r="B33" s="6" t="inlineStr">
        <is>
          <t>ต้นทุนขาย-วัสดุก่อสร้าง</t>
        </is>
      </c>
      <c r="C33" s="6" t="inlineStr">
        <is>
          <t>Expense</t>
        </is>
      </c>
      <c r="D33" s="6" t="inlineStr">
        <is>
          <t>5100</t>
        </is>
      </c>
      <c r="E33" s="6" t="inlineStr">
        <is>
          <t>Debit</t>
        </is>
      </c>
    </row>
    <row r="34">
      <c r="A34" s="6" t="inlineStr">
        <is>
          <t>5111</t>
        </is>
      </c>
      <c r="B34" s="6" t="inlineStr">
        <is>
          <t>ต้นทุนขาย-ค่าแรง</t>
        </is>
      </c>
      <c r="C34" s="6" t="inlineStr">
        <is>
          <t>Expense</t>
        </is>
      </c>
      <c r="D34" s="6" t="inlineStr">
        <is>
          <t>5100</t>
        </is>
      </c>
      <c r="E34" s="6" t="inlineStr">
        <is>
          <t>Debit</t>
        </is>
      </c>
    </row>
    <row r="35">
      <c r="A35" s="6" t="inlineStr">
        <is>
          <t>5121</t>
        </is>
      </c>
      <c r="B35" s="6" t="inlineStr">
        <is>
          <t>ต้นทุนขาย-ค่าผู้รับเหมา</t>
        </is>
      </c>
      <c r="C35" s="6" t="inlineStr">
        <is>
          <t>Expense</t>
        </is>
      </c>
      <c r="D35" s="6" t="inlineStr">
        <is>
          <t>5100</t>
        </is>
      </c>
      <c r="E35" s="6" t="inlineStr">
        <is>
          <t>Debit</t>
        </is>
      </c>
    </row>
    <row r="36">
      <c r="A36" s="6" t="inlineStr">
        <is>
          <t>5131</t>
        </is>
      </c>
      <c r="B36" s="6" t="inlineStr">
        <is>
          <t>ต้นทุนขาย-ที่ดิน</t>
        </is>
      </c>
      <c r="C36" s="6" t="inlineStr">
        <is>
          <t>Expense</t>
        </is>
      </c>
      <c r="D36" s="6" t="inlineStr">
        <is>
          <t>5100</t>
        </is>
      </c>
      <c r="E36" s="6" t="inlineStr">
        <is>
          <t>Debit</t>
        </is>
      </c>
    </row>
    <row r="37">
      <c r="A37" s="6" t="inlineStr">
        <is>
          <t>5141</t>
        </is>
      </c>
      <c r="B37" s="6" t="inlineStr">
        <is>
          <t>ต้นทุนขาย-สาธารณูปโภค</t>
        </is>
      </c>
      <c r="C37" s="6" t="inlineStr">
        <is>
          <t>Expense</t>
        </is>
      </c>
      <c r="D37" s="6" t="inlineStr">
        <is>
          <t>5100</t>
        </is>
      </c>
      <c r="E37" s="6" t="inlineStr">
        <is>
          <t>Debit</t>
        </is>
      </c>
    </row>
    <row r="38">
      <c r="A38" s="6" t="inlineStr">
        <is>
          <t>6101</t>
        </is>
      </c>
      <c r="B38" s="6" t="inlineStr">
        <is>
          <t>เงินเดือนพนักงาน</t>
        </is>
      </c>
      <c r="C38" s="6" t="inlineStr">
        <is>
          <t>Expense</t>
        </is>
      </c>
      <c r="D38" s="6" t="inlineStr">
        <is>
          <t>6100</t>
        </is>
      </c>
      <c r="E38" s="6" t="inlineStr">
        <is>
          <t>Debit</t>
        </is>
      </c>
    </row>
    <row r="39">
      <c r="A39" s="6" t="inlineStr">
        <is>
          <t>6102</t>
        </is>
      </c>
      <c r="B39" s="6" t="inlineStr">
        <is>
          <t>ค่า OT</t>
        </is>
      </c>
      <c r="C39" s="6" t="inlineStr">
        <is>
          <t>Expense</t>
        </is>
      </c>
      <c r="D39" s="6" t="inlineStr">
        <is>
          <t>6100</t>
        </is>
      </c>
      <c r="E39" s="6" t="inlineStr">
        <is>
          <t>Debit</t>
        </is>
      </c>
    </row>
    <row r="40">
      <c r="A40" s="6" t="inlineStr">
        <is>
          <t>6111</t>
        </is>
      </c>
      <c r="B40" s="6" t="inlineStr">
        <is>
          <t>ค่าโฆษณา-การตลาด</t>
        </is>
      </c>
      <c r="C40" s="6" t="inlineStr">
        <is>
          <t>Expense</t>
        </is>
      </c>
      <c r="D40" s="6" t="inlineStr">
        <is>
          <t>6110</t>
        </is>
      </c>
      <c r="E40" s="6" t="inlineStr">
        <is>
          <t>Debit</t>
        </is>
      </c>
    </row>
    <row r="41">
      <c r="A41" s="6" t="inlineStr">
        <is>
          <t>6121</t>
        </is>
      </c>
      <c r="B41" s="6" t="inlineStr">
        <is>
          <t>ค่าน้ำ-ไฟ-โทรศัพท์</t>
        </is>
      </c>
      <c r="C41" s="6" t="inlineStr">
        <is>
          <t>Expense</t>
        </is>
      </c>
      <c r="D41" s="6" t="inlineStr">
        <is>
          <t>6120</t>
        </is>
      </c>
      <c r="E41" s="6" t="inlineStr">
        <is>
          <t>Debit</t>
        </is>
      </c>
    </row>
    <row r="42">
      <c r="A42" s="6" t="inlineStr">
        <is>
          <t>6201</t>
        </is>
      </c>
      <c r="B42" s="6" t="inlineStr">
        <is>
          <t>ภาษีธุรกิจเฉพาะ (SBT 3.3%)</t>
        </is>
      </c>
      <c r="C42" s="6" t="inlineStr">
        <is>
          <t>Expense</t>
        </is>
      </c>
      <c r="D42" s="6" t="inlineStr">
        <is>
          <t>6200</t>
        </is>
      </c>
      <c r="E42" s="6" t="inlineStr">
        <is>
          <t>Debit</t>
        </is>
      </c>
    </row>
    <row r="43">
      <c r="A43" s="6" t="inlineStr">
        <is>
          <t>6211</t>
        </is>
      </c>
      <c r="B43" s="6" t="inlineStr">
        <is>
          <t>ค่าโอนกรรมสิทธิ์ (2%)</t>
        </is>
      </c>
      <c r="C43" s="6" t="inlineStr">
        <is>
          <t>Expense</t>
        </is>
      </c>
      <c r="D43" s="6" t="inlineStr">
        <is>
          <t>6200</t>
        </is>
      </c>
      <c r="E43" s="6" t="inlineStr">
        <is>
          <t>Debit</t>
        </is>
      </c>
    </row>
    <row r="44">
      <c r="A44" s="6" t="inlineStr">
        <is>
          <t>6221</t>
        </is>
      </c>
      <c r="B44" s="6" t="inlineStr">
        <is>
          <t>ค่าจดจำนอง (1%)</t>
        </is>
      </c>
      <c r="C44" s="6" t="inlineStr">
        <is>
          <t>Expense</t>
        </is>
      </c>
      <c r="D44" s="6" t="inlineStr">
        <is>
          <t>6200</t>
        </is>
      </c>
      <c r="E44" s="6" t="inlineStr">
        <is>
          <t>Debit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13" customWidth="1" min="5" max="5"/>
    <col width="13" customWidth="1" min="6" max="6"/>
    <col width="13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2" customWidth="1" min="14" max="14"/>
    <col width="24" customWidth="1" min="15" max="15"/>
  </cols>
  <sheetData>
    <row r="1" ht="28" customHeight="1">
      <c r="A1" s="9" t="inlineStr">
        <is>
          <t>plot_no</t>
        </is>
      </c>
      <c r="B1" s="9" t="inlineStr">
        <is>
          <t>project</t>
        </is>
      </c>
      <c r="C1" s="9" t="inlineStr">
        <is>
          <t>customer_name</t>
        </is>
      </c>
      <c r="D1" s="9" t="inlineStr">
        <is>
          <t>phone</t>
        </is>
      </c>
      <c r="E1" s="9" t="inlineStr">
        <is>
          <t>booking_date</t>
        </is>
      </c>
      <c r="F1" s="9" t="inlineStr">
        <is>
          <t>contract_date</t>
        </is>
      </c>
      <c r="G1" s="9" t="inlineStr">
        <is>
          <t>transfer_date</t>
        </is>
      </c>
      <c r="H1" s="9" t="inlineStr">
        <is>
          <t>sale_price</t>
        </is>
      </c>
      <c r="I1" s="9" t="inlineStr">
        <is>
          <t>sbt_3_3</t>
        </is>
      </c>
      <c r="J1" s="9" t="inlineStr">
        <is>
          <t>transfer_fee_2</t>
        </is>
      </c>
      <c r="K1" s="9" t="inlineStr">
        <is>
          <t>mortgage_fee_1</t>
        </is>
      </c>
      <c r="L1" s="9" t="inlineStr">
        <is>
          <t>wht_1</t>
        </is>
      </c>
      <c r="M1" s="9" t="inlineStr">
        <is>
          <t>net_revenue</t>
        </is>
      </c>
      <c r="N1" s="9" t="inlineStr">
        <is>
          <t>status</t>
        </is>
      </c>
      <c r="O1" s="9" t="inlineStr">
        <is>
          <t>notes</t>
        </is>
      </c>
    </row>
    <row r="2">
      <c r="A2" s="6" t="inlineStr">
        <is>
          <t>89/5</t>
        </is>
      </c>
      <c r="B2" s="6" t="inlineStr">
        <is>
          <t>OV</t>
        </is>
      </c>
      <c r="C2" s="6" t="inlineStr">
        <is>
          <t>นายสมชาย ใจดี</t>
        </is>
      </c>
      <c r="D2" s="6" t="inlineStr">
        <is>
          <t>081-234-5678</t>
        </is>
      </c>
      <c r="E2" s="6" t="inlineStr">
        <is>
          <t>2569-03-15</t>
        </is>
      </c>
      <c r="F2" s="6" t="inlineStr">
        <is>
          <t>2569-04-20</t>
        </is>
      </c>
      <c r="G2" s="6" t="inlineStr">
        <is>
          <t>2569-05-20</t>
        </is>
      </c>
      <c r="H2" s="10" t="n">
        <v>3990000</v>
      </c>
      <c r="I2" s="10">
        <f>H2*0.033</f>
        <v/>
      </c>
      <c r="J2" s="10">
        <f>H2*0.02</f>
        <v/>
      </c>
      <c r="K2" s="10">
        <f>H2*0.01</f>
        <v/>
      </c>
      <c r="L2" s="10">
        <f>H2*0.01</f>
        <v/>
      </c>
      <c r="M2" s="10">
        <f>H2-I2-J2-K2-L2</f>
        <v/>
      </c>
      <c r="N2" s="6" t="inlineStr">
        <is>
          <t>โอนแล้ว</t>
        </is>
      </c>
      <c r="O2" s="6" t="inlineStr"/>
    </row>
    <row r="3">
      <c r="A3" s="6" t="inlineStr">
        <is>
          <t>5/89</t>
        </is>
      </c>
      <c r="B3" s="6" t="inlineStr">
        <is>
          <t>WW</t>
        </is>
      </c>
      <c r="C3" s="6" t="inlineStr">
        <is>
          <t>นางสาวมาลี ดีใจ</t>
        </is>
      </c>
      <c r="D3" s="6" t="inlineStr">
        <is>
          <t>082-345-6789</t>
        </is>
      </c>
      <c r="E3" s="6" t="inlineStr">
        <is>
          <t>2569-04-10</t>
        </is>
      </c>
      <c r="F3" s="6" t="inlineStr">
        <is>
          <t>2569-05-15</t>
        </is>
      </c>
      <c r="G3" s="6" t="inlineStr"/>
      <c r="H3" s="10" t="n">
        <v>2390000</v>
      </c>
      <c r="I3" s="10">
        <f>H3*0.033</f>
        <v/>
      </c>
      <c r="J3" s="10">
        <f>H3*0.02</f>
        <v/>
      </c>
      <c r="K3" s="10">
        <f>H3*0.01</f>
        <v/>
      </c>
      <c r="L3" s="10">
        <f>H3*0.01</f>
        <v/>
      </c>
      <c r="M3" s="10">
        <f>H3-I3-J3-K3-L3</f>
        <v/>
      </c>
      <c r="N3" s="6" t="inlineStr">
        <is>
          <t>สัญญา</t>
        </is>
      </c>
      <c r="O3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2" customWidth="1" min="5" max="5"/>
    <col width="13" customWidth="1" min="6" max="6"/>
    <col width="13" customWidth="1" min="7" max="7"/>
    <col width="18" customWidth="1" min="8" max="8"/>
    <col width="30" customWidth="1" min="9" max="9"/>
  </cols>
  <sheetData>
    <row r="1" ht="28" customHeight="1">
      <c r="A1" s="9" t="inlineStr">
        <is>
          <t>form_type</t>
        </is>
      </c>
      <c r="B1" s="9" t="inlineStr">
        <is>
          <t>period</t>
        </is>
      </c>
      <c r="C1" s="9" t="inlineStr">
        <is>
          <t>due_date</t>
        </is>
      </c>
      <c r="D1" s="9" t="inlineStr">
        <is>
          <t>amount_due</t>
        </is>
      </c>
      <c r="E1" s="9" t="inlineStr">
        <is>
          <t>status</t>
        </is>
      </c>
      <c r="F1" s="9" t="inlineStr">
        <is>
          <t>filed_date</t>
        </is>
      </c>
      <c r="G1" s="9" t="inlineStr">
        <is>
          <t>paid_date</t>
        </is>
      </c>
      <c r="H1" s="9" t="inlineStr">
        <is>
          <t>ref_no</t>
        </is>
      </c>
      <c r="I1" s="9" t="inlineStr">
        <is>
          <t>notes</t>
        </is>
      </c>
    </row>
    <row r="2">
      <c r="A2" s="6" t="inlineStr">
        <is>
          <t>ภงด.1</t>
        </is>
      </c>
      <c r="B2" s="6" t="inlineStr">
        <is>
          <t>2569-05</t>
        </is>
      </c>
      <c r="C2" s="6" t="inlineStr">
        <is>
          <t>2569-06-07</t>
        </is>
      </c>
      <c r="D2" s="10" t="n">
        <v>28500</v>
      </c>
      <c r="E2" s="6" t="inlineStr">
        <is>
          <t>pending</t>
        </is>
      </c>
      <c r="F2" s="6" t="inlineStr"/>
      <c r="G2" s="6" t="inlineStr"/>
      <c r="H2" s="6" t="inlineStr"/>
      <c r="I2" s="6" t="inlineStr">
        <is>
          <t>หัก ณ ที่จ่ายเงินเดือน 24 คน</t>
        </is>
      </c>
    </row>
    <row r="3">
      <c r="A3" s="6" t="inlineStr">
        <is>
          <t>ภพ.30</t>
        </is>
      </c>
      <c r="B3" s="6" t="inlineStr">
        <is>
          <t>2569-05</t>
        </is>
      </c>
      <c r="C3" s="6" t="inlineStr">
        <is>
          <t>2569-06-15</t>
        </is>
      </c>
      <c r="D3" s="10" t="n">
        <v>42000</v>
      </c>
      <c r="E3" s="6" t="inlineStr">
        <is>
          <t>pending</t>
        </is>
      </c>
      <c r="F3" s="6" t="inlineStr"/>
      <c r="G3" s="6" t="inlineStr"/>
      <c r="H3" s="6" t="inlineStr"/>
      <c r="I3" s="6" t="inlineStr">
        <is>
          <t>VAT ขาย - VAT ซื้อ</t>
        </is>
      </c>
    </row>
    <row r="4">
      <c r="A4" s="6" t="inlineStr">
        <is>
          <t>ภงด.53</t>
        </is>
      </c>
      <c r="B4" s="6" t="inlineStr">
        <is>
          <t>2569-05</t>
        </is>
      </c>
      <c r="C4" s="6" t="inlineStr">
        <is>
          <t>2569-06-07</t>
        </is>
      </c>
      <c r="D4" s="10" t="n">
        <v>18000</v>
      </c>
      <c r="E4" s="6" t="inlineStr">
        <is>
          <t>pending</t>
        </is>
      </c>
      <c r="F4" s="6" t="inlineStr"/>
      <c r="G4" s="6" t="inlineStr"/>
      <c r="H4" s="6" t="inlineStr"/>
      <c r="I4" s="6" t="inlineStr">
        <is>
          <t>หัก WHT ผู้รับเหมา 3%</t>
        </is>
      </c>
    </row>
    <row r="5">
      <c r="A5" s="6" t="inlineStr">
        <is>
          <t>ภงด.51</t>
        </is>
      </c>
      <c r="B5" s="6" t="inlineStr">
        <is>
          <t>2569-H1</t>
        </is>
      </c>
      <c r="C5" s="6" t="inlineStr">
        <is>
          <t>2569-08-31</t>
        </is>
      </c>
      <c r="D5" s="10" t="n">
        <v>0</v>
      </c>
      <c r="E5" s="6" t="inlineStr">
        <is>
          <t>pending</t>
        </is>
      </c>
      <c r="F5" s="6" t="inlineStr"/>
      <c r="G5" s="6" t="inlineStr"/>
      <c r="H5" s="6" t="inlineStr"/>
      <c r="I5" s="6" t="inlineStr">
        <is>
          <t>ภาษีกลางปี (CIT 20%)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2" customWidth="1" min="4" max="4"/>
    <col width="16" customWidth="1" min="5" max="5"/>
    <col width="16" customWidth="1" min="6" max="6"/>
    <col width="10" customWidth="1" min="7" max="7"/>
    <col width="16" customWidth="1" min="8" max="8"/>
    <col width="14" customWidth="1" min="9" max="9"/>
    <col width="14" customWidth="1" min="10" max="10"/>
    <col width="30" customWidth="1" min="11" max="11"/>
  </cols>
  <sheetData>
    <row r="1" ht="28" customHeight="1">
      <c r="A1" s="9" t="inlineStr">
        <is>
          <t>analysis_id</t>
        </is>
      </c>
      <c r="B1" s="9" t="inlineStr">
        <is>
          <t>saved_date</t>
        </is>
      </c>
      <c r="C1" s="9" t="inlineStr">
        <is>
          <t>project_name</t>
        </is>
      </c>
      <c r="D1" s="9" t="inlineStr">
        <is>
          <t>total_units</t>
        </is>
      </c>
      <c r="E1" s="9" t="inlineStr">
        <is>
          <t>total_investment</t>
        </is>
      </c>
      <c r="F1" s="9" t="inlineStr">
        <is>
          <t>expected_revenue</t>
        </is>
      </c>
      <c r="G1" s="9" t="inlineStr">
        <is>
          <t>irr</t>
        </is>
      </c>
      <c r="H1" s="9" t="inlineStr">
        <is>
          <t>npv</t>
        </is>
      </c>
      <c r="I1" s="9" t="inlineStr">
        <is>
          <t>payback_years</t>
        </is>
      </c>
      <c r="J1" s="9" t="inlineStr">
        <is>
          <t>scenario</t>
        </is>
      </c>
      <c r="K1" s="9" t="inlineStr">
        <is>
          <t>notes</t>
        </is>
      </c>
    </row>
    <row r="2">
      <c r="A2" s="6" t="inlineStr">
        <is>
          <t>FS-0001</t>
        </is>
      </c>
      <c r="B2" s="6" t="inlineStr">
        <is>
          <t>2569-05-25</t>
        </is>
      </c>
      <c r="C2" s="6" t="inlineStr">
        <is>
          <t>One Vela Phase 2</t>
        </is>
      </c>
      <c r="D2" s="6" t="n">
        <v>60</v>
      </c>
      <c r="E2" s="10" t="n">
        <v>180000000</v>
      </c>
      <c r="F2" s="10" t="n">
        <v>252000000</v>
      </c>
      <c r="G2" s="13" t="n">
        <v>0.245</v>
      </c>
      <c r="H2" s="10" t="n">
        <v>36500000</v>
      </c>
      <c r="I2" s="6" t="n">
        <v>3.2</v>
      </c>
      <c r="J2" s="6" t="inlineStr">
        <is>
          <t>Base</t>
        </is>
      </c>
      <c r="K2" s="6" t="inlineStr">
        <is>
          <t>หมู่บ้านขยาย</t>
        </is>
      </c>
    </row>
    <row r="3">
      <c r="A3" s="6" t="inlineStr">
        <is>
          <t>FS-0002</t>
        </is>
      </c>
      <c r="B3" s="6" t="inlineStr">
        <is>
          <t>2569-05-25</t>
        </is>
      </c>
      <c r="C3" s="6" t="inlineStr">
        <is>
          <t>One Vela Phase 2</t>
        </is>
      </c>
      <c r="D3" s="6" t="n">
        <v>60</v>
      </c>
      <c r="E3" s="10" t="n">
        <v>180000000</v>
      </c>
      <c r="F3" s="10" t="n">
        <v>240000000</v>
      </c>
      <c r="G3" s="13" t="n">
        <v>0.198</v>
      </c>
      <c r="H3" s="10" t="n">
        <v>28000000</v>
      </c>
      <c r="I3" s="6" t="n">
        <v>3.6</v>
      </c>
      <c r="J3" s="6" t="inlineStr">
        <is>
          <t>Worst</t>
        </is>
      </c>
      <c r="K3" s="6" t="inlineStr">
        <is>
          <t>ตลาดชะลอ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0" customWidth="1" min="5" max="5"/>
    <col width="12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  <col width="14" customWidth="1" min="12" max="12"/>
    <col width="18" customWidth="1" min="13" max="13"/>
    <col width="36" customWidth="1" min="14" max="14"/>
  </cols>
  <sheetData>
    <row r="1" ht="28" customHeight="1">
      <c r="A1" s="9" t="inlineStr">
        <is>
          <t>month</t>
        </is>
      </c>
      <c r="B1" s="9" t="inlineStr">
        <is>
          <t>employee_id</t>
        </is>
      </c>
      <c r="C1" s="9" t="inlineStr">
        <is>
          <t>name</t>
        </is>
      </c>
      <c r="D1" s="9" t="inlineStr">
        <is>
          <t>position</t>
        </is>
      </c>
      <c r="E1" s="9" t="inlineStr">
        <is>
          <t>type</t>
        </is>
      </c>
      <c r="F1" s="9" t="inlineStr">
        <is>
          <t>base_salary</t>
        </is>
      </c>
      <c r="G1" s="9" t="inlineStr">
        <is>
          <t>ot_hours</t>
        </is>
      </c>
      <c r="H1" s="9" t="inlineStr">
        <is>
          <t>ot_amount</t>
        </is>
      </c>
      <c r="I1" s="9" t="inlineStr">
        <is>
          <t>gross</t>
        </is>
      </c>
      <c r="J1" s="9" t="inlineStr">
        <is>
          <t>sso_5</t>
        </is>
      </c>
      <c r="K1" s="9" t="inlineStr">
        <is>
          <t>wht</t>
        </is>
      </c>
      <c r="L1" s="9" t="inlineStr">
        <is>
          <t>net</t>
        </is>
      </c>
      <c r="M1" s="9" t="inlineStr">
        <is>
          <t>bank_account</t>
        </is>
      </c>
      <c r="N1" s="9" t="inlineStr">
        <is>
          <t>slip_pdf_url</t>
        </is>
      </c>
    </row>
    <row r="2">
      <c r="A2" s="6" t="inlineStr">
        <is>
          <t>2569-05</t>
        </is>
      </c>
      <c r="B2" s="6" t="inlineStr">
        <is>
          <t>E-001</t>
        </is>
      </c>
      <c r="C2" s="6" t="inlineStr">
        <is>
          <t>คุณไอซ์ (Iceberg)</t>
        </is>
      </c>
      <c r="D2" s="6" t="inlineStr">
        <is>
          <t>ผู้บริหาร</t>
        </is>
      </c>
      <c r="E2" s="6" t="inlineStr">
        <is>
          <t>monthly</t>
        </is>
      </c>
      <c r="F2" s="10" t="n">
        <v>80000</v>
      </c>
      <c r="G2" s="6" t="n">
        <v>0</v>
      </c>
      <c r="H2" s="10" t="n">
        <v>0</v>
      </c>
      <c r="I2" s="10">
        <f>F2+H2</f>
        <v/>
      </c>
      <c r="J2" s="10">
        <f>MIN(I2*0.05,750)</f>
        <v/>
      </c>
      <c r="K2" s="10" t="n">
        <v>5500</v>
      </c>
      <c r="L2" s="10">
        <f>I2-J2-K2</f>
        <v/>
      </c>
      <c r="M2" s="6" t="inlineStr">
        <is>
          <t>SCB-xxx-1234</t>
        </is>
      </c>
      <c r="N2" s="6" t="inlineStr"/>
    </row>
    <row r="3">
      <c r="A3" s="6" t="inlineStr">
        <is>
          <t>2569-05</t>
        </is>
      </c>
      <c r="B3" s="6" t="inlineStr">
        <is>
          <t>E-002</t>
        </is>
      </c>
      <c r="C3" s="6" t="inlineStr">
        <is>
          <t>คุณก้อ</t>
        </is>
      </c>
      <c r="D3" s="6" t="inlineStr">
        <is>
          <t>หัวหน้าจัดซื้อ</t>
        </is>
      </c>
      <c r="E3" s="6" t="inlineStr">
        <is>
          <t>monthly</t>
        </is>
      </c>
      <c r="F3" s="10" t="n">
        <v>35000</v>
      </c>
      <c r="G3" s="6" t="n">
        <v>8</v>
      </c>
      <c r="H3" s="10" t="n">
        <v>2200</v>
      </c>
      <c r="I3" s="10">
        <f>F3+H3</f>
        <v/>
      </c>
      <c r="J3" s="10">
        <f>MIN(I3*0.05,750)</f>
        <v/>
      </c>
      <c r="K3" s="10" t="n">
        <v>750</v>
      </c>
      <c r="L3" s="10">
        <f>I3-J3-K3</f>
        <v/>
      </c>
      <c r="M3" s="6" t="inlineStr">
        <is>
          <t>SCB-xxx-5678</t>
        </is>
      </c>
      <c r="N3" s="6" t="inlineStr"/>
    </row>
    <row r="4">
      <c r="A4" s="6" t="inlineStr">
        <is>
          <t>2569-05</t>
        </is>
      </c>
      <c r="B4" s="6" t="inlineStr">
        <is>
          <t>E-003</t>
        </is>
      </c>
      <c r="C4" s="6" t="inlineStr">
        <is>
          <t>คุณยาย</t>
        </is>
      </c>
      <c r="D4" s="6" t="inlineStr">
        <is>
          <t>บัญชี</t>
        </is>
      </c>
      <c r="E4" s="6" t="inlineStr">
        <is>
          <t>monthly</t>
        </is>
      </c>
      <c r="F4" s="10" t="n">
        <v>28000</v>
      </c>
      <c r="G4" s="6" t="n">
        <v>0</v>
      </c>
      <c r="H4" s="10" t="n">
        <v>0</v>
      </c>
      <c r="I4" s="10">
        <f>F4+H4</f>
        <v/>
      </c>
      <c r="J4" s="10">
        <f>MIN(I4*0.05,750)</f>
        <v/>
      </c>
      <c r="K4" s="10" t="n">
        <v>280</v>
      </c>
      <c r="L4" s="10">
        <f>I4-J4-K4</f>
        <v/>
      </c>
      <c r="M4" s="6" t="inlineStr">
        <is>
          <t>K+-xxx-9012</t>
        </is>
      </c>
      <c r="N4" s="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16" customWidth="1" min="5" max="5"/>
    <col width="16" customWidth="1" min="6" max="6"/>
    <col width="18" customWidth="1" min="7" max="7"/>
    <col width="10" customWidth="1" min="8" max="8"/>
    <col width="11" customWidth="1" min="9" max="9"/>
    <col width="16" customWidth="1" min="10" max="10"/>
    <col width="24" customWidth="1" min="11" max="11"/>
  </cols>
  <sheetData>
    <row r="1" ht="28" customHeight="1">
      <c r="A1" s="9" t="inlineStr">
        <is>
          <t>contractor_id</t>
        </is>
      </c>
      <c r="B1" s="9" t="inlineStr">
        <is>
          <t>name</t>
        </is>
      </c>
      <c r="C1" s="9" t="inlineStr">
        <is>
          <t>specialty</t>
        </is>
      </c>
      <c r="D1" s="9" t="inlineStr">
        <is>
          <t>phone</t>
        </is>
      </c>
      <c r="E1" s="9" t="inlineStr">
        <is>
          <t>line_id</t>
        </is>
      </c>
      <c r="F1" s="9" t="inlineStr">
        <is>
          <t>tax_id</t>
        </is>
      </c>
      <c r="G1" s="9" t="inlineStr">
        <is>
          <t>bank_account</t>
        </is>
      </c>
      <c r="H1" s="9" t="inlineStr">
        <is>
          <t>status</t>
        </is>
      </c>
      <c r="I1" s="9" t="inlineStr">
        <is>
          <t>total_jobs</t>
        </is>
      </c>
      <c r="J1" s="9" t="inlineStr">
        <is>
          <t>total_paid_ytd</t>
        </is>
      </c>
      <c r="K1" s="9" t="inlineStr">
        <is>
          <t>notes</t>
        </is>
      </c>
    </row>
    <row r="2">
      <c r="A2" s="6" t="inlineStr">
        <is>
          <t>C-001</t>
        </is>
      </c>
      <c r="B2" s="6" t="inlineStr">
        <is>
          <t>ทีมช่างต้น (ปูน-โครงสร้าง)</t>
        </is>
      </c>
      <c r="C2" s="6" t="inlineStr">
        <is>
          <t>โครงสร้าง</t>
        </is>
      </c>
      <c r="D2" s="6" t="inlineStr">
        <is>
          <t>081-111-2222</t>
        </is>
      </c>
      <c r="E2" s="6" t="inlineStr">
        <is>
          <t>tonbuild</t>
        </is>
      </c>
      <c r="F2" s="6" t="inlineStr">
        <is>
          <t>1234567890123</t>
        </is>
      </c>
      <c r="G2" s="6" t="inlineStr">
        <is>
          <t>SCB-xxx-1111</t>
        </is>
      </c>
      <c r="H2" s="6" t="inlineStr">
        <is>
          <t>active</t>
        </is>
      </c>
      <c r="I2" s="6" t="n">
        <v>12</v>
      </c>
      <c r="J2" s="10" t="n">
        <v>1850000</v>
      </c>
      <c r="K2" s="6" t="inlineStr">
        <is>
          <t>ทำงาน OV+WW</t>
        </is>
      </c>
    </row>
    <row r="3">
      <c r="A3" s="6" t="inlineStr">
        <is>
          <t>C-002</t>
        </is>
      </c>
      <c r="B3" s="6" t="inlineStr">
        <is>
          <t>ทีมช่างนัท (ไฟฟ้า)</t>
        </is>
      </c>
      <c r="C3" s="6" t="inlineStr">
        <is>
          <t>ไฟฟ้า</t>
        </is>
      </c>
      <c r="D3" s="6" t="inlineStr">
        <is>
          <t>082-222-3333</t>
        </is>
      </c>
      <c r="E3" s="6" t="inlineStr">
        <is>
          <t>nutelec</t>
        </is>
      </c>
      <c r="F3" s="6" t="inlineStr">
        <is>
          <t>2345678901234</t>
        </is>
      </c>
      <c r="G3" s="6" t="inlineStr">
        <is>
          <t>K+-xxx-2222</t>
        </is>
      </c>
      <c r="H3" s="6" t="inlineStr">
        <is>
          <t>active</t>
        </is>
      </c>
      <c r="I3" s="6" t="n">
        <v>18</v>
      </c>
      <c r="J3" s="10" t="n">
        <v>720000</v>
      </c>
      <c r="K3" s="6" t="inlineStr"/>
    </row>
    <row r="4">
      <c r="A4" s="6" t="inlineStr">
        <is>
          <t>C-003</t>
        </is>
      </c>
      <c r="B4" s="6" t="inlineStr">
        <is>
          <t>ทีมช่างนก (ประปา)</t>
        </is>
      </c>
      <c r="C4" s="6" t="inlineStr">
        <is>
          <t>ประปา-สุขภัณฑ์</t>
        </is>
      </c>
      <c r="D4" s="6" t="inlineStr">
        <is>
          <t>083-333-4444</t>
        </is>
      </c>
      <c r="E4" s="6" t="inlineStr">
        <is>
          <t>nokplumb</t>
        </is>
      </c>
      <c r="F4" s="6" t="inlineStr">
        <is>
          <t>3456789012345</t>
        </is>
      </c>
      <c r="G4" s="6" t="inlineStr">
        <is>
          <t>BBL-xxx-3333</t>
        </is>
      </c>
      <c r="H4" s="6" t="inlineStr">
        <is>
          <t>active</t>
        </is>
      </c>
      <c r="I4" s="6" t="n">
        <v>15</v>
      </c>
      <c r="J4" s="10" t="n">
        <v>540000</v>
      </c>
      <c r="K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2026-05-26T02:12:16Z</dcterms:created>
  <dcterms:modified xmlns:dcterms="http://purl.org/dc/terms/" xmlns:xsi="http://www.w3.org/2001/XMLSchema-instance" xsi:type="dcterms:W3CDTF">2026-05-26T04:06:02Z</dcterms:modified>
</cp:coreProperties>
</file>